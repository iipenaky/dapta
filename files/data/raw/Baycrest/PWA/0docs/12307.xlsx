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L165"/>
  <c r="L164"/>
  <c r="L163"/>
  <c r="L162"/>
  <c r="L161"/>
  <c r="L160"/>
  <c r="L159"/>
  <c r="L158"/>
  <c r="L157"/>
  <c r="L156"/>
  <c r="L155"/>
  <c r="L154"/>
  <c r="L153"/>
  <c r="G110"/>
  <c r="L110" s="1"/>
  <c r="L109"/>
  <c r="G109"/>
  <c r="G108"/>
  <c r="L108" s="1"/>
  <c r="G107"/>
  <c r="L107" s="1"/>
  <c r="L119"/>
  <c r="G119"/>
  <c r="L118"/>
  <c r="G118"/>
  <c r="L117"/>
  <c r="G117"/>
  <c r="G116"/>
  <c r="L116" s="1"/>
  <c r="L115"/>
  <c r="G115"/>
  <c r="L114"/>
  <c r="G114"/>
  <c r="L113"/>
  <c r="G113"/>
  <c r="G112"/>
  <c r="L112" s="1"/>
  <c r="L111"/>
  <c r="G111"/>
  <c r="L24"/>
  <c r="G24"/>
  <c r="L23"/>
  <c r="G23"/>
  <c r="G22"/>
  <c r="L22" s="1"/>
  <c r="G21"/>
  <c r="L21" s="1"/>
  <c r="L146"/>
  <c r="G146"/>
  <c r="L145"/>
  <c r="G145"/>
  <c r="G144"/>
  <c r="L144" s="1"/>
  <c r="G143"/>
  <c r="L143" s="1"/>
  <c r="L142"/>
  <c r="G142"/>
  <c r="L141"/>
  <c r="G141"/>
  <c r="G97"/>
  <c r="L97" s="1"/>
  <c r="G96"/>
  <c r="L96" s="1"/>
  <c r="L95"/>
  <c r="G95"/>
  <c r="L94"/>
  <c r="G94"/>
  <c r="G93"/>
  <c r="L93" s="1"/>
  <c r="G92"/>
  <c r="L92" s="1"/>
  <c r="L91"/>
  <c r="G91"/>
  <c r="L90"/>
  <c r="G90"/>
  <c r="G89"/>
  <c r="L89" s="1"/>
  <c r="G88"/>
  <c r="L88" s="1"/>
  <c r="L87"/>
  <c r="G87"/>
  <c r="L86"/>
  <c r="G86"/>
  <c r="G85"/>
  <c r="L85" s="1"/>
  <c r="G84"/>
  <c r="L84" s="1"/>
  <c r="L83"/>
  <c r="G83"/>
  <c r="L82"/>
  <c r="G82"/>
  <c r="G81"/>
  <c r="L81" s="1"/>
  <c r="G80"/>
  <c r="L80" s="1"/>
  <c r="L79"/>
  <c r="G79"/>
  <c r="L78"/>
  <c r="G78"/>
  <c r="G77"/>
  <c r="L77" s="1"/>
  <c r="G76"/>
  <c r="L76" s="1"/>
  <c r="L75"/>
  <c r="G75"/>
  <c r="L74"/>
  <c r="G74"/>
  <c r="G73"/>
  <c r="L73" s="1"/>
  <c r="G72"/>
  <c r="L72" s="1"/>
  <c r="L71"/>
  <c r="G71"/>
  <c r="L31"/>
  <c r="G31"/>
  <c r="L30"/>
  <c r="G30"/>
  <c r="L29"/>
  <c r="G29"/>
  <c r="L28"/>
  <c r="G28"/>
  <c r="L25"/>
  <c r="G25"/>
  <c r="G70"/>
  <c r="L70" s="1"/>
  <c r="L69"/>
  <c r="G69"/>
  <c r="L68"/>
  <c r="G68"/>
  <c r="L67"/>
  <c r="G67"/>
  <c r="G66"/>
  <c r="L66" s="1"/>
  <c r="L65"/>
  <c r="G65"/>
  <c r="L64"/>
  <c r="G64"/>
  <c r="L63"/>
  <c r="G63"/>
  <c r="G62"/>
  <c r="L62" s="1"/>
  <c r="L52"/>
  <c r="G52"/>
  <c r="L51"/>
  <c r="G51"/>
  <c r="L50"/>
  <c r="G50"/>
  <c r="G49"/>
  <c r="L49" s="1"/>
  <c r="L48"/>
  <c r="G48"/>
  <c r="L47"/>
  <c r="G47"/>
  <c r="L46"/>
  <c r="G46"/>
  <c r="G45"/>
  <c r="L45" s="1"/>
  <c r="G44"/>
  <c r="L44" s="1"/>
  <c r="G13"/>
  <c r="L13" s="1"/>
  <c r="L12"/>
  <c r="L106"/>
  <c r="L11"/>
  <c r="G103"/>
  <c r="L103" s="1"/>
  <c r="G102"/>
  <c r="L102" s="1"/>
  <c r="G101"/>
  <c r="L101" s="1"/>
  <c r="L152"/>
  <c r="L151"/>
  <c r="L150"/>
  <c r="L149"/>
  <c r="L148"/>
  <c r="L147"/>
  <c r="G99"/>
  <c r="G98"/>
  <c r="L122"/>
  <c r="G122"/>
  <c r="L121"/>
  <c r="G121"/>
  <c r="G120"/>
  <c r="L120" s="1"/>
  <c r="G140"/>
  <c r="L140" s="1"/>
  <c r="L139"/>
  <c r="G139"/>
  <c r="L138"/>
  <c r="G138"/>
  <c r="G137"/>
  <c r="L137" s="1"/>
  <c r="L136"/>
  <c r="G136"/>
  <c r="G135"/>
  <c r="L135" s="1"/>
  <c r="L134"/>
  <c r="G134"/>
  <c r="G133"/>
  <c r="L133" s="1"/>
  <c r="G132"/>
  <c r="L132" s="1"/>
  <c r="G131"/>
  <c r="L131" s="1"/>
  <c r="L130"/>
  <c r="G130"/>
  <c r="G129"/>
  <c r="L129" s="1"/>
  <c r="L128"/>
  <c r="G128"/>
  <c r="L127"/>
  <c r="G127"/>
  <c r="G126"/>
  <c r="L126" s="1"/>
  <c r="G125"/>
  <c r="L125" s="1"/>
  <c r="L124"/>
  <c r="G124"/>
  <c r="G123"/>
  <c r="L123" s="1"/>
  <c r="L20"/>
  <c r="G19"/>
  <c r="L19" s="1"/>
  <c r="L18"/>
  <c r="G18"/>
  <c r="L17"/>
  <c r="L26"/>
  <c r="L14"/>
  <c r="G14"/>
  <c r="L16"/>
  <c r="G16"/>
  <c r="L15"/>
  <c r="G15"/>
  <c r="L61"/>
  <c r="G61"/>
  <c r="L60"/>
  <c r="G60"/>
  <c r="G59"/>
  <c r="L59" s="1"/>
  <c r="L58"/>
  <c r="G58"/>
  <c r="L57"/>
  <c r="G57"/>
  <c r="L56"/>
  <c r="G56"/>
  <c r="G55"/>
  <c r="L55" s="1"/>
  <c r="L54"/>
  <c r="G54"/>
  <c r="L53"/>
  <c r="G53"/>
  <c r="L105"/>
  <c r="G105"/>
  <c r="G104"/>
  <c r="L104" s="1"/>
  <c r="L4"/>
  <c r="G4"/>
  <c r="L10"/>
  <c r="G10"/>
  <c r="L9"/>
  <c r="G9"/>
  <c r="L8"/>
  <c r="G8"/>
  <c r="L7"/>
  <c r="G7"/>
  <c r="L6"/>
  <c r="G6"/>
  <c r="L43"/>
  <c r="G43"/>
  <c r="G42"/>
  <c r="L42" s="1"/>
  <c r="L41"/>
  <c r="G41"/>
  <c r="L40"/>
  <c r="G40"/>
  <c r="L39"/>
  <c r="G39"/>
  <c r="G38"/>
  <c r="L38" s="1"/>
  <c r="L37"/>
  <c r="G37"/>
  <c r="L36"/>
  <c r="G36"/>
  <c r="L35"/>
  <c r="G35"/>
  <c r="L34"/>
  <c r="L5"/>
  <c r="L33"/>
  <c r="L32"/>
  <c r="L3"/>
  <c r="L2"/>
  <c r="L44" i="1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60"/>
  <c r="L140"/>
  <c r="L118"/>
  <c r="L112"/>
  <c r="L111"/>
  <c r="L110"/>
  <c r="L109"/>
  <c r="L108"/>
  <c r="L88"/>
  <c r="L87"/>
  <c r="L86"/>
  <c r="G53"/>
  <c r="L53" s="1"/>
  <c r="G54"/>
  <c r="L54" s="1"/>
  <c r="G55"/>
  <c r="L55" s="1"/>
  <c r="L52"/>
  <c r="G51"/>
  <c r="L51" s="1"/>
  <c r="G50"/>
  <c r="L50" s="1"/>
  <c r="L49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L159" s="1"/>
  <c r="G160"/>
  <c r="G161"/>
  <c r="L161" s="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<sst xmlns="http://schemas.openxmlformats.org/spreadsheetml/2006/main" count="1447" uniqueCount="379">
  <si>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</si>
  <si>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</si>
  <si>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</si>
  <si>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</si>
  <si>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</si>
  <si>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</si>
  <si>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</si>
  <si>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</si>
  <si>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</si>
  <si>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</si>
  <si>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</si>
  <si>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</si>
  <si>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</si>
  <si>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</si>
  <si>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</si>
  <si>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</si>
  <si>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</si>
  <si>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</si>
  <si>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</si>
  <si>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</si>
  <si>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</si>
  <si>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</si>
  <si>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</si>
  <si>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</si>
  <si>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</si>
  <si>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</si>
  <si>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</si>
  <si>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</si>
  <si>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</si>
  <si>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</si>
  <si>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</si>
  <si>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</si>
  <si>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</si>
  <si>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</si>
  <si>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</si>
  <si>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</si>
  <si>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</si>
  <si>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</si>
  <si>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</si>
  <si>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</si>
  <si>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</si>
  <si>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</si>
  <si>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</si>
  <si>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</si>
  <si>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</si>
  <si>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</si>
  <si>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</si>
  <si>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</si>
  <si>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</si>
  <si>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</si>
  <si>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</si>
  <si>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</si>
  <si>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</si>
  <si>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</si>
  <si>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</si>
  <si>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</si>
  <si>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</si>
  <si>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</si>
  <si>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</si>
  <si>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</si>
  <si>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</si>
  <si>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</si>
  <si>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</si>
  <si>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</si>
  <si>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</si>
  <si>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</si>
  <si>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</si>
  <si>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</si>
  <si>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</si>
  <si>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</si>
  <si>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</si>
  <si>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</si>
  <si>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</si>
  <si>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</si>
  <si>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</si>
  <si>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</si>
  <si>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</si>
  <si>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</si>
  <si>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</si>
  <si>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</si>
  <si>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</si>
  <si>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</si>
  <si>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</si>
  <si>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</si>
  <si>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</si>
  <si>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</si>
  <si>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</si>
  <si>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</si>
  <si>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</si>
  <si>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</si>
  <si>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</si>
  <si>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</si>
  <si>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</si>
  <si>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</si>
  <si>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</si>
  <si>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</si>
  <si>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</si>
  <si>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</si>
  <si>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</si>
  <si>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</si>
  <si>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</si>
  <si>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</si>
  <si>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</si>
  <si>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</si>
  <si>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</si>
  <si>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</si>
  <si>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</si>
  <si>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</si>
  <si>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</si>
  <si>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</si>
  <si>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</si>
  <si>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</si>
  <si>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</si>
  <si>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</si>
  <si>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</si>
  <si>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</si>
  <si>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</si>
  <si>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</si>
  <si>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</si>
  <si>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</si>
  <si>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</si>
  <si>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</si>
  <si>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</si>
  <si>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</si>
  <si>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</si>
  <si>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</si>
  <si>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</si>
  <si>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</si>
  <si>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</si>
  <si>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</si>
  <si>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</si>
  <si>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</si>
  <si>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</si>
  <si>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</si>
  <si>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</si>
  <si>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</si>
  <si>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</si>
  <si>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</si>
  <si>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</si>
  <si>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</si>
  <si>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</si>
  <si>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</si>
  <si>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</si>
  <si>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</si>
  <si>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</si>
  <si>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</si>
  <si>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</si>
  <si>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</si>
  <si>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</si>
  <si>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</si>
  <si>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</si>
  <si>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</si>
  <si>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</si>
  <si>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</si>
  <si>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</si>
  <si>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</si>
  <si>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</si>
  <si>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</si>
  <si>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</si>
  <si>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</si>
  <si>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</si>
  <si>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</si>
  <si>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</si>
  <si>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</si>
  <si>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</si>
  <si>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</si>
  <si>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</si>
  <si>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</si>
  <si>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</si>
  <si>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</si>
  <si>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</si>
  <si>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</si>
  <si>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</si>
  <si>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</si>
  <si>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</si>
  <si>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</si>
  <si>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</si>
  <si>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</si>
  <si>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</si>
  <si>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</si>
  <si>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</si>
  <si>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</si>
  <si>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</si>
  <si>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</si>
  <si>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</si>
  <si>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</si>
  <si>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</si>
  <si>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</si>
  <si>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</si>
  <si>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</si>
  <si>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</si>
  <si>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</si>
  <si>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</si>
  <si>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</si>
  <si>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</si>
  <si>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</si>
  <si>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</si>
  <si>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</si>
  <si>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</si>
  <si>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</si>
  <si>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</si>
  <si>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</si>
  <si>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</si>
  <si>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</si>
  <si>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</si>
  <si>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</si>
  <si>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</si>
  <si>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</si>
  <si>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</si>
  <si>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</si>
  <si>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</si>
  <si>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</si>
  <si>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</si>
  <si>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</si>
  <si>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</si>
  <si>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</si>
  <si>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</si>
  <si>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</si>
  <si>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</si>
  <si>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</si>
  <si>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</si>
  <si>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</si>
  <si>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</si>
  <si>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</si>
  <si>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</si>
  <si>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</si>
  <si>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</si>
  <si>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</si>
  <si>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</si>
  <si>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</si>
  <si>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</si>
  <si>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</si>
  <si>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</si>
  <si>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</si>
  <si>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</si>
  <si>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</si>
  <si>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</si>
  <si>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</si>
  <si>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</si>
  <si>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</si>
  <si>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</si>
  <si>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</si>
  <si>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</si>
  <si>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</si>
  <si>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</si>
  <si>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</si>
  <si>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</si>
  <si>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</si>
  <si>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</si>
  <si>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</si>
  <si>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</si>
  <si>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</si>
  <si>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</si>
  <si>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</si>
  <si>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</si>
  <si>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</si>
  <si>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</si>
  <si>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</si>
  <si>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</si>
  <si>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</si>
  <si>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</si>
  <si>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</si>
  <si>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</si>
  <si>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</si>
  <si>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</si>
  <si>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</si>
  <si>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</si>
  <si>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</si>
  <si>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</si>
  <si>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</si>
  <si>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</si>
  <si>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</si>
  <si>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</si>
  <si>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</si>
  <si>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</si>
  <si>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</si>
  <si>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</si>
  <si>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</si>
  <si>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</si>
  <si>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</si>
  <si>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</si>
  <si>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</si>
  <si>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</si>
  <si>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</si>
  <si>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</si>
  <si>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</si>
  <si>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</si>
  <si>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</si>
  <si>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</si>
  <si>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</si>
  <si>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</si>
  <si>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</si>
  <si>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</si>
  <si>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</si>
  <si>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</si>
  <si>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</si>
  <si>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</si>
  <si>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</si>
  <si>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</si>
  <si>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</si>
  <si>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</si>
  <si>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</si>
  <si>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</si>
  <si>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</si>
  <si>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</si>
  <si>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</si>
  <si>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</si>
  <si>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</si>
  <si>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</si>
  <si>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</si>
  <si>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</si>
  <si>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</si>
  <si>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</si>
  <si>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</si>
  <si>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</si>
  <si>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</si>
  <si>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</si>
  <si>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</si>
  <si>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</si>
  <si>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</si>
  <si>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</si>
  <si>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</si>
  <si>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</si>
  <si>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</si>
  <si>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</si>
  <si>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</si>
  <si>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</si>
  <si>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</si>
  <si>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</si>
  <si>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</si>
  <si>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</si>
  <si>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</si>
  <si>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</si>
  <si>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</si>
  <si>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</si>
  <si>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</si>
  <si>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</si>
  <si>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</si>
  <si>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</si>
  <si>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</si>
  <si>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</si>
  <si>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</si>
  <si>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</si>
  <si>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</si>
  <si>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</si>
  <si>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</si>
  <si>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</si>
  <si>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</si>
  <si>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</si>
  <si>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</si>
  <si>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</si>
  <si>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</si>
  <si>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</si>
  <si>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</si>
  <si>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</si>
  <si>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</si>
  <si>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</si>
  <si>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</si>
  <si>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</si>
  <si>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</si>
  <si>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</si>
  <si>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</si>
  <si>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</si>
  <si>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</si>
  <si>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</si>
  <si>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</si>
  <si>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</si>
  <si>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Stroke</t>
  </si>
  <si>
    <t>Female</t>
  </si>
  <si>
    <t>Right</t>
  </si>
  <si>
    <t>very mild aphasia, anomic</t>
  </si>
  <si>
    <t>right handed</t>
  </si>
  <si>
    <t>not depressed</t>
  </si>
  <si>
    <t>Average = 18.05 ± 4.81</t>
  </si>
  <si>
    <t>below average</t>
  </si>
  <si>
    <t>scaled on age range 65-71</t>
  </si>
  <si>
    <t>NT</t>
  </si>
  <si>
    <t>not tested because patient found task too confusing</t>
  </si>
  <si>
    <t>45th percentile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</si>
</sst>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50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12307</v>
      </c>
    </row>
    <row r="2" spans="1:12" s="4" customFormat="1">
      <c r="A2" s="3" t="s">
        <v>355</v>
      </c>
      <c r="B2" s="5" t="s">
        <v>367</v>
      </c>
    </row>
    <row r="3" spans="1:12" s="4" customFormat="1">
      <c r="A3" s="3" t="s">
        <v>356</v>
      </c>
      <c r="B3" s="7">
        <v>19470105</v>
      </c>
    </row>
    <row r="4" spans="1:12" s="4" customFormat="1">
      <c r="A4" s="3" t="s">
        <v>357</v>
      </c>
      <c r="B4" s="7">
        <v>68</v>
      </c>
    </row>
    <row r="5" spans="1:12" s="4" customFormat="1">
      <c r="A5" s="3" t="s">
        <v>358</v>
      </c>
      <c r="B5" s="5" t="s">
        <v>368</v>
      </c>
    </row>
    <row r="6" spans="1:12" s="4" customFormat="1">
      <c r="A6" s="3" t="s">
        <v>359</v>
      </c>
      <c r="B6" s="5" t="s">
        <v>369</v>
      </c>
    </row>
    <row r="7" spans="1:12" s="4" customFormat="1">
      <c r="A7" s="3" t="s">
        <v>360</v>
      </c>
      <c r="B7" s="7">
        <v>13</v>
      </c>
    </row>
    <row r="8" spans="1:12" s="4" customFormat="1">
      <c r="A8" s="3" t="s">
        <v>361</v>
      </c>
      <c r="B8" s="5">
        <v>20150108</v>
      </c>
    </row>
    <row r="9" spans="1:12" s="4" customFormat="1">
      <c r="A9" s="3" t="s">
        <v>362</v>
      </c>
      <c r="B9" s="8" t="s">
        <v>370</v>
      </c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100</v>
      </c>
      <c r="F12" s="4">
        <v>100</v>
      </c>
      <c r="J12" s="2" t="s">
        <v>244</v>
      </c>
      <c r="K12" s="2" t="s">
        <v>371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>
        <v>4</v>
      </c>
      <c r="F13" s="2">
        <v>15</v>
      </c>
      <c r="I13" s="2"/>
      <c r="J13" t="s">
        <v>9</v>
      </c>
      <c r="K13" s="2" t="s">
        <v>372</v>
      </c>
      <c r="L13">
        <f>E13</f>
        <v>4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20</v>
      </c>
      <c r="I14" s="2">
        <v>5</v>
      </c>
      <c r="J14" s="2" t="s">
        <v>14</v>
      </c>
      <c r="K14" s="2"/>
      <c r="L14">
        <f>I14</f>
        <v>5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12</v>
      </c>
      <c r="I15" s="2"/>
      <c r="J15" s="2" t="s">
        <v>373</v>
      </c>
      <c r="K15" s="2" t="s">
        <v>374</v>
      </c>
      <c r="L15">
        <f>E15</f>
        <v>12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13</v>
      </c>
      <c r="F16" s="2">
        <v>48</v>
      </c>
      <c r="I16" s="2">
        <v>3</v>
      </c>
      <c r="J16" s="4" t="s">
        <v>14</v>
      </c>
      <c r="K16" s="2"/>
      <c r="L16">
        <f>I16</f>
        <v>3</v>
      </c>
    </row>
    <row r="17" spans="1:12">
      <c r="A17" t="s">
        <v>21</v>
      </c>
      <c r="B17" t="s">
        <v>11</v>
      </c>
      <c r="C17" t="s">
        <v>22</v>
      </c>
      <c r="E17" s="2">
        <v>57</v>
      </c>
      <c r="F17" s="2">
        <v>60</v>
      </c>
      <c r="I17" s="2">
        <v>10</v>
      </c>
      <c r="J17" s="4" t="s">
        <v>14</v>
      </c>
      <c r="K17" s="2" t="s">
        <v>375</v>
      </c>
      <c r="L17" s="2">
        <f>I17</f>
        <v>10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4</v>
      </c>
      <c r="F20" s="2">
        <v>5</v>
      </c>
      <c r="G20" s="2">
        <f t="shared" si="1"/>
        <v>80</v>
      </c>
      <c r="I20" s="2"/>
      <c r="K20" s="2"/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5</v>
      </c>
      <c r="F22" s="2">
        <v>5</v>
      </c>
      <c r="G22" s="2">
        <f t="shared" si="1"/>
        <v>100</v>
      </c>
      <c r="I22" s="2"/>
      <c r="K22" s="2"/>
      <c r="L22">
        <f t="shared" si="0"/>
        <v>100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9</v>
      </c>
      <c r="F24" s="2">
        <v>10</v>
      </c>
      <c r="G24" s="2">
        <f t="shared" si="1"/>
        <v>90</v>
      </c>
      <c r="I24" s="2"/>
      <c r="J24" t="s">
        <v>40</v>
      </c>
      <c r="K24" s="2"/>
      <c r="L24">
        <f t="shared" si="0"/>
        <v>90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7</v>
      </c>
      <c r="F25" s="2">
        <v>7</v>
      </c>
      <c r="G25" s="2">
        <f t="shared" si="1"/>
        <v>100</v>
      </c>
      <c r="I25" s="2"/>
      <c r="J25" t="s">
        <v>41</v>
      </c>
      <c r="K25" s="2"/>
      <c r="L25">
        <f t="shared" si="0"/>
        <v>100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21</v>
      </c>
      <c r="F26" s="2">
        <v>22</v>
      </c>
      <c r="G26" s="2">
        <f t="shared" si="1"/>
        <v>95.454545454545453</v>
      </c>
      <c r="L26" s="2">
        <f t="shared" si="0"/>
        <v>95.454545454545453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3</v>
      </c>
      <c r="F27" s="2">
        <v>12</v>
      </c>
      <c r="G27" s="2">
        <f t="shared" si="1"/>
        <v>25</v>
      </c>
      <c r="I27" s="2"/>
      <c r="K27" s="2"/>
      <c r="L27">
        <f>E27</f>
        <v>3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6</v>
      </c>
      <c r="F28" s="2">
        <v>12</v>
      </c>
      <c r="G28" s="2">
        <f t="shared" si="1"/>
        <v>50</v>
      </c>
      <c r="I28" s="2"/>
      <c r="K28" s="2"/>
      <c r="L28">
        <f>E28</f>
        <v>6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9</v>
      </c>
      <c r="F29" s="2">
        <v>24</v>
      </c>
      <c r="G29" s="2">
        <f t="shared" si="1"/>
        <v>37.5</v>
      </c>
      <c r="I29" s="2">
        <v>9</v>
      </c>
      <c r="J29" s="4" t="s">
        <v>14</v>
      </c>
      <c r="K29" s="2"/>
      <c r="L29">
        <f>I29</f>
        <v>9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33</v>
      </c>
      <c r="F30" s="2">
        <v>36</v>
      </c>
      <c r="G30" s="2">
        <f t="shared" si="1"/>
        <v>91.666666666666657</v>
      </c>
      <c r="I30" s="2">
        <v>11</v>
      </c>
      <c r="J30" s="2" t="s">
        <v>14</v>
      </c>
      <c r="K30" s="2"/>
      <c r="L30">
        <f>I30</f>
        <v>11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9</v>
      </c>
      <c r="F31" s="2">
        <v>12</v>
      </c>
      <c r="G31" s="2">
        <f t="shared" si="1"/>
        <v>75</v>
      </c>
      <c r="K31" s="9">
        <v>42075</v>
      </c>
      <c r="L31" s="2">
        <f>E31</f>
        <v>9</v>
      </c>
    </row>
    <row r="32" spans="1:12">
      <c r="A32" s="2" t="s">
        <v>245</v>
      </c>
      <c r="B32" s="2" t="s">
        <v>8</v>
      </c>
      <c r="C32" s="2" t="s">
        <v>51</v>
      </c>
      <c r="E32" s="2">
        <v>22</v>
      </c>
      <c r="F32" s="2">
        <v>30</v>
      </c>
      <c r="G32" s="2">
        <f t="shared" si="1"/>
        <v>73.333333333333329</v>
      </c>
      <c r="I32" s="2"/>
      <c r="J32" s="2" t="s">
        <v>52</v>
      </c>
      <c r="K32" s="2"/>
      <c r="L32">
        <f>E32</f>
        <v>22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10</v>
      </c>
      <c r="F33" s="2">
        <v>10</v>
      </c>
      <c r="G33" s="2">
        <f t="shared" ref="G33:G34" si="2">E33/F33*100</f>
        <v>100</v>
      </c>
      <c r="I33" s="2"/>
      <c r="K33" s="2"/>
      <c r="L33">
        <f t="shared" ref="L33:L43" si="3">G33</f>
        <v>100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8</v>
      </c>
      <c r="F34" s="2">
        <v>10</v>
      </c>
      <c r="G34" s="2">
        <f t="shared" si="2"/>
        <v>80</v>
      </c>
      <c r="I34" s="2"/>
      <c r="J34" s="2" t="s">
        <v>59</v>
      </c>
      <c r="K34" s="2"/>
      <c r="L34">
        <f t="shared" si="3"/>
        <v>80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5</v>
      </c>
      <c r="F36" s="2">
        <v>5</v>
      </c>
      <c r="G36" s="2">
        <f t="shared" ref="G36:G46" si="4">E36/F36*100</f>
        <v>100</v>
      </c>
      <c r="I36" s="2"/>
      <c r="J36" s="2" t="s">
        <v>39</v>
      </c>
      <c r="K36" s="2"/>
      <c r="L36">
        <f t="shared" si="3"/>
        <v>100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5</v>
      </c>
      <c r="F37" s="2">
        <v>5</v>
      </c>
      <c r="G37" s="2">
        <f t="shared" si="4"/>
        <v>100</v>
      </c>
      <c r="I37" s="2"/>
      <c r="J37" s="2" t="s">
        <v>39</v>
      </c>
      <c r="K37" s="2"/>
      <c r="L37">
        <f t="shared" si="3"/>
        <v>100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5</v>
      </c>
      <c r="F38" s="2">
        <v>5</v>
      </c>
      <c r="G38" s="2">
        <f t="shared" si="4"/>
        <v>100</v>
      </c>
      <c r="I38" s="2"/>
      <c r="J38" s="2" t="s">
        <v>39</v>
      </c>
      <c r="K38" s="2"/>
      <c r="L38">
        <f t="shared" si="3"/>
        <v>100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5</v>
      </c>
      <c r="F39" s="2">
        <v>5</v>
      </c>
      <c r="G39" s="2">
        <f t="shared" si="4"/>
        <v>100</v>
      </c>
      <c r="I39" s="2"/>
      <c r="J39" s="2" t="s">
        <v>77</v>
      </c>
      <c r="K39" s="2"/>
      <c r="L39">
        <f t="shared" si="3"/>
        <v>100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5</v>
      </c>
      <c r="F40" s="2">
        <v>5</v>
      </c>
      <c r="G40" s="2">
        <f t="shared" si="4"/>
        <v>100</v>
      </c>
      <c r="I40" s="2"/>
      <c r="J40" s="2" t="s">
        <v>78</v>
      </c>
      <c r="K40" s="2"/>
      <c r="L40">
        <f t="shared" si="3"/>
        <v>100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15</v>
      </c>
      <c r="F41" s="2">
        <v>15</v>
      </c>
      <c r="G41" s="2">
        <f t="shared" si="4"/>
        <v>100</v>
      </c>
      <c r="I41" s="2"/>
      <c r="K41" s="2"/>
      <c r="L41">
        <f t="shared" si="3"/>
        <v>100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15</v>
      </c>
      <c r="F42" s="2">
        <v>15</v>
      </c>
      <c r="G42" s="2">
        <f t="shared" si="4"/>
        <v>100</v>
      </c>
      <c r="I42" s="2"/>
      <c r="K42" s="2"/>
      <c r="L42">
        <f t="shared" si="3"/>
        <v>100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30</v>
      </c>
      <c r="F43" s="2">
        <v>30</v>
      </c>
      <c r="G43" s="2">
        <f t="shared" si="4"/>
        <v>100</v>
      </c>
      <c r="L43" s="2">
        <f t="shared" si="3"/>
        <v>100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17</v>
      </c>
      <c r="F44" s="2">
        <v>20</v>
      </c>
      <c r="G44" s="2">
        <f t="shared" si="4"/>
        <v>85</v>
      </c>
      <c r="H44">
        <v>186</v>
      </c>
      <c r="I44" s="2"/>
      <c r="J44" s="4"/>
      <c r="K44" s="2"/>
      <c r="L44">
        <f>E44</f>
        <v>17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12</v>
      </c>
      <c r="F45" s="2">
        <v>20</v>
      </c>
      <c r="G45" s="2">
        <f t="shared" si="4"/>
        <v>60</v>
      </c>
      <c r="H45">
        <v>204</v>
      </c>
      <c r="I45" s="2">
        <v>9</v>
      </c>
      <c r="J45" s="4" t="s">
        <v>14</v>
      </c>
      <c r="K45" s="2"/>
      <c r="L45">
        <f>I45</f>
        <v>9</v>
      </c>
    </row>
    <row r="46" spans="1:12">
      <c r="A46" s="2" t="s">
        <v>84</v>
      </c>
      <c r="B46" s="2" t="s">
        <v>18</v>
      </c>
      <c r="C46" s="2" t="s">
        <v>85</v>
      </c>
      <c r="E46" s="2">
        <v>39</v>
      </c>
      <c r="F46" s="2">
        <v>50</v>
      </c>
      <c r="G46" s="2">
        <f t="shared" si="4"/>
        <v>78</v>
      </c>
      <c r="I46" s="2"/>
      <c r="J46" s="4" t="s">
        <v>17</v>
      </c>
      <c r="K46" s="2"/>
      <c r="L46">
        <f>E46</f>
        <v>39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116</v>
      </c>
      <c r="I47" s="2">
        <v>1</v>
      </c>
      <c r="J47" s="4" t="s">
        <v>14</v>
      </c>
      <c r="K47" s="2"/>
      <c r="L47">
        <f>I47</f>
        <v>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I48" s="2"/>
      <c r="J48" s="4" t="s">
        <v>14</v>
      </c>
      <c r="K48" s="2" t="s">
        <v>377</v>
      </c>
      <c r="L48" s="2" t="s">
        <v>376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11</v>
      </c>
      <c r="F49" s="2">
        <v>20</v>
      </c>
      <c r="I49" s="2">
        <v>9</v>
      </c>
      <c r="J49" s="4" t="s">
        <v>14</v>
      </c>
      <c r="K49" s="2"/>
      <c r="L49">
        <f>I49</f>
        <v>9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4</v>
      </c>
      <c r="F50" s="2">
        <v>5</v>
      </c>
      <c r="G50" s="2">
        <f>E50/F50*100</f>
        <v>80</v>
      </c>
      <c r="I50" s="2"/>
      <c r="K50" s="2"/>
      <c r="L50">
        <f>G50</f>
        <v>80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3</v>
      </c>
      <c r="F51" s="2">
        <v>5</v>
      </c>
      <c r="G51" s="2">
        <f>E51/F51*100</f>
        <v>60</v>
      </c>
      <c r="I51" s="2"/>
      <c r="K51" s="2"/>
      <c r="L51">
        <f>G51</f>
        <v>60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7</v>
      </c>
      <c r="F52" s="2">
        <v>10</v>
      </c>
      <c r="I52" s="2">
        <v>9</v>
      </c>
      <c r="J52" s="2" t="s">
        <v>14</v>
      </c>
      <c r="K52" s="2"/>
      <c r="L52">
        <f>I52</f>
        <v>9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19</v>
      </c>
      <c r="F53" s="2">
        <v>20</v>
      </c>
      <c r="G53" s="2">
        <f t="shared" ref="G53:G55" si="5">E53/F53*100</f>
        <v>95</v>
      </c>
      <c r="L53" s="2">
        <f t="shared" ref="L53:L85" si="6">G53</f>
        <v>95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18</v>
      </c>
      <c r="F54" s="2">
        <v>20</v>
      </c>
      <c r="G54" s="2">
        <f t="shared" si="5"/>
        <v>90</v>
      </c>
      <c r="L54" s="2">
        <f t="shared" si="6"/>
        <v>90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37</v>
      </c>
      <c r="F55" s="2">
        <v>40</v>
      </c>
      <c r="G55" s="2">
        <f t="shared" si="5"/>
        <v>92.5</v>
      </c>
      <c r="I55" s="2"/>
      <c r="K55" s="2"/>
      <c r="L55">
        <f t="shared" si="6"/>
        <v>92.5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5</v>
      </c>
      <c r="F56" s="2">
        <v>5</v>
      </c>
      <c r="G56" s="2">
        <f t="shared" ref="G56:G75" si="7">E56/F56*100</f>
        <v>100</v>
      </c>
      <c r="L56" s="2">
        <f t="shared" si="6"/>
        <v>100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5</v>
      </c>
      <c r="F57" s="2">
        <v>5</v>
      </c>
      <c r="G57" s="2">
        <f t="shared" si="7"/>
        <v>100</v>
      </c>
      <c r="L57" s="2">
        <f t="shared" si="6"/>
        <v>100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5</v>
      </c>
      <c r="F58" s="2">
        <v>5</v>
      </c>
      <c r="G58" s="2">
        <f t="shared" si="7"/>
        <v>100</v>
      </c>
      <c r="L58" s="2">
        <f t="shared" si="6"/>
        <v>100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4</v>
      </c>
      <c r="F59" s="2">
        <v>5</v>
      </c>
      <c r="G59" s="2">
        <f t="shared" si="7"/>
        <v>80</v>
      </c>
      <c r="L59" s="2">
        <f t="shared" si="6"/>
        <v>80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3</v>
      </c>
      <c r="F60" s="2">
        <v>5</v>
      </c>
      <c r="G60" s="2">
        <f t="shared" si="7"/>
        <v>60</v>
      </c>
      <c r="L60" s="2">
        <f t="shared" si="6"/>
        <v>60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4</v>
      </c>
      <c r="F61" s="2">
        <v>5</v>
      </c>
      <c r="G61" s="2">
        <f t="shared" si="7"/>
        <v>80</v>
      </c>
      <c r="L61" s="2">
        <f t="shared" si="6"/>
        <v>80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4</v>
      </c>
      <c r="F62" s="2">
        <v>5</v>
      </c>
      <c r="G62" s="2">
        <f t="shared" si="7"/>
        <v>80</v>
      </c>
      <c r="L62" s="2">
        <f t="shared" si="6"/>
        <v>80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2</v>
      </c>
      <c r="F63" s="2">
        <v>5</v>
      </c>
      <c r="G63" s="2">
        <f t="shared" si="7"/>
        <v>40</v>
      </c>
      <c r="L63" s="2">
        <f t="shared" si="6"/>
        <v>40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10</v>
      </c>
      <c r="F64" s="2">
        <v>10</v>
      </c>
      <c r="G64" s="2">
        <f t="shared" si="7"/>
        <v>100</v>
      </c>
      <c r="I64" s="2"/>
      <c r="K64" s="2"/>
      <c r="L64">
        <f t="shared" si="6"/>
        <v>100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9</v>
      </c>
      <c r="F65" s="2">
        <v>10</v>
      </c>
      <c r="G65" s="2">
        <f t="shared" si="7"/>
        <v>90</v>
      </c>
      <c r="L65" s="2">
        <f t="shared" si="6"/>
        <v>90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7</v>
      </c>
      <c r="F66" s="2">
        <v>10</v>
      </c>
      <c r="G66" s="2">
        <f t="shared" si="7"/>
        <v>70</v>
      </c>
      <c r="L66" s="2">
        <f t="shared" si="6"/>
        <v>70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6</v>
      </c>
      <c r="F67" s="2">
        <v>10</v>
      </c>
      <c r="G67" s="2">
        <f t="shared" si="7"/>
        <v>60</v>
      </c>
      <c r="L67" s="2">
        <f t="shared" si="6"/>
        <v>60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17</v>
      </c>
      <c r="F68" s="2">
        <v>20</v>
      </c>
      <c r="G68" s="2">
        <f t="shared" si="7"/>
        <v>85</v>
      </c>
      <c r="L68" s="2">
        <f t="shared" si="6"/>
        <v>85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15</v>
      </c>
      <c r="F69" s="2">
        <v>20</v>
      </c>
      <c r="G69" s="2">
        <f t="shared" si="7"/>
        <v>75</v>
      </c>
      <c r="L69" s="2">
        <f t="shared" si="6"/>
        <v>75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32</v>
      </c>
      <c r="F70" s="2">
        <v>40</v>
      </c>
      <c r="G70" s="2">
        <f t="shared" si="7"/>
        <v>80</v>
      </c>
      <c r="L70" s="2">
        <f t="shared" si="6"/>
        <v>80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29</v>
      </c>
      <c r="F71" s="2">
        <v>30</v>
      </c>
      <c r="G71" s="2">
        <f t="shared" si="7"/>
        <v>96.666666666666671</v>
      </c>
      <c r="I71" s="2"/>
      <c r="K71" s="2"/>
      <c r="L71">
        <f t="shared" si="6"/>
        <v>96.666666666666671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29</v>
      </c>
      <c r="F72" s="2">
        <v>30</v>
      </c>
      <c r="G72" s="2">
        <f t="shared" si="7"/>
        <v>96.666666666666671</v>
      </c>
      <c r="I72" s="2"/>
      <c r="K72" s="2"/>
      <c r="L72">
        <f t="shared" si="6"/>
        <v>96.666666666666671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58</v>
      </c>
      <c r="F73" s="2">
        <v>60</v>
      </c>
      <c r="G73" s="2">
        <f t="shared" si="7"/>
        <v>96.666666666666671</v>
      </c>
      <c r="I73" s="2"/>
      <c r="K73" s="2"/>
      <c r="L73">
        <f t="shared" si="6"/>
        <v>96.666666666666671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376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376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I76" s="2"/>
      <c r="K76" s="2"/>
      <c r="L76" s="2" t="s">
        <v>376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9</v>
      </c>
      <c r="F77" s="2">
        <v>10</v>
      </c>
      <c r="I77" s="2"/>
      <c r="K77" s="2"/>
      <c r="L77">
        <f>E77</f>
        <v>9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9</v>
      </c>
      <c r="F78" s="2">
        <v>10</v>
      </c>
      <c r="I78" s="2"/>
      <c r="K78" s="2"/>
      <c r="L78" s="2">
        <f t="shared" ref="L78:L82" si="8">E78</f>
        <v>9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10</v>
      </c>
      <c r="F79" s="2">
        <v>10</v>
      </c>
      <c r="I79" s="2"/>
      <c r="K79" s="2"/>
      <c r="L79" s="2">
        <f t="shared" si="8"/>
        <v>10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95</v>
      </c>
      <c r="F81" s="2">
        <v>100</v>
      </c>
      <c r="I81" s="2"/>
      <c r="K81" s="2"/>
      <c r="L81" s="2">
        <f t="shared" si="8"/>
        <v>95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96.25</v>
      </c>
      <c r="F82" s="2">
        <v>100</v>
      </c>
      <c r="I82" s="2"/>
      <c r="K82" s="2"/>
      <c r="L82" s="2">
        <f t="shared" si="8"/>
        <v>96.25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24</v>
      </c>
      <c r="F83" s="2">
        <v>32</v>
      </c>
      <c r="G83" s="2">
        <f>E83/F83*100</f>
        <v>75</v>
      </c>
      <c r="L83" s="2">
        <f t="shared" si="6"/>
        <v>75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28</v>
      </c>
      <c r="F84" s="2">
        <v>32</v>
      </c>
      <c r="G84" s="2">
        <f>E84/F84*100</f>
        <v>87.5</v>
      </c>
      <c r="L84" s="2">
        <f t="shared" si="6"/>
        <v>87.5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52</v>
      </c>
      <c r="F85" s="2">
        <v>64</v>
      </c>
      <c r="G85" s="2">
        <f>E85/F85*100</f>
        <v>81.25</v>
      </c>
      <c r="I85" s="2"/>
      <c r="J85" s="2" t="s">
        <v>133</v>
      </c>
      <c r="K85" s="2"/>
      <c r="L85" s="2">
        <f t="shared" si="6"/>
        <v>81.25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19</v>
      </c>
      <c r="F86" s="5">
        <v>50</v>
      </c>
      <c r="I86" s="2">
        <v>7</v>
      </c>
      <c r="J86" s="4" t="s">
        <v>14</v>
      </c>
      <c r="K86" s="2"/>
      <c r="L86">
        <f>I86</f>
        <v>7</v>
      </c>
    </row>
    <row r="87" spans="1:12">
      <c r="A87" s="2" t="s">
        <v>137</v>
      </c>
      <c r="B87" s="2" t="s">
        <v>55</v>
      </c>
      <c r="C87" s="2" t="s">
        <v>138</v>
      </c>
      <c r="E87" s="2">
        <v>209</v>
      </c>
      <c r="F87" s="2">
        <v>228</v>
      </c>
      <c r="I87" s="2">
        <v>98</v>
      </c>
      <c r="K87" s="2" t="s">
        <v>378</v>
      </c>
      <c r="L87">
        <f>I87</f>
        <v>98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19</v>
      </c>
      <c r="F88" s="5">
        <v>50</v>
      </c>
      <c r="I88" s="2">
        <v>9</v>
      </c>
      <c r="J88" s="4" t="s">
        <v>14</v>
      </c>
      <c r="K88" s="2"/>
      <c r="L88">
        <f>I88</f>
        <v>9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22</v>
      </c>
      <c r="F89" s="5">
        <v>30</v>
      </c>
      <c r="G89" s="2">
        <f>E89/F89*100</f>
        <v>73.333333333333329</v>
      </c>
      <c r="I89" s="2"/>
      <c r="J89" s="4"/>
      <c r="K89" s="2"/>
      <c r="L89">
        <f>G89</f>
        <v>73.333333333333329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3</v>
      </c>
      <c r="F100" s="2">
        <v>5</v>
      </c>
      <c r="G100" s="2">
        <f t="shared" si="9"/>
        <v>60</v>
      </c>
      <c r="I100" s="2"/>
      <c r="J100" s="2" t="s">
        <v>39</v>
      </c>
      <c r="K100" s="2"/>
      <c r="L100">
        <f t="shared" si="10"/>
        <v>60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5</v>
      </c>
      <c r="F103" s="2">
        <v>5</v>
      </c>
      <c r="G103" s="2">
        <f t="shared" si="9"/>
        <v>100</v>
      </c>
      <c r="I103" s="2"/>
      <c r="J103" s="2" t="s">
        <v>162</v>
      </c>
      <c r="K103" s="2"/>
      <c r="L103">
        <f t="shared" si="10"/>
        <v>100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1</v>
      </c>
      <c r="F104" s="2">
        <v>5</v>
      </c>
      <c r="G104" s="2">
        <f t="shared" si="9"/>
        <v>20</v>
      </c>
      <c r="I104" s="2"/>
      <c r="J104" s="2" t="s">
        <v>163</v>
      </c>
      <c r="K104" s="2"/>
      <c r="L104">
        <f t="shared" si="10"/>
        <v>20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15</v>
      </c>
      <c r="F105" s="2">
        <v>15</v>
      </c>
      <c r="G105" s="2">
        <f t="shared" si="9"/>
        <v>100</v>
      </c>
      <c r="I105" s="2"/>
      <c r="K105" s="2"/>
      <c r="L105">
        <f t="shared" si="10"/>
        <v>100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9</v>
      </c>
      <c r="F106" s="2">
        <v>15</v>
      </c>
      <c r="G106" s="2">
        <f t="shared" si="9"/>
        <v>60</v>
      </c>
      <c r="I106" s="2"/>
      <c r="K106" s="2"/>
      <c r="L106">
        <f t="shared" si="10"/>
        <v>60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24</v>
      </c>
      <c r="F107" s="2">
        <v>30</v>
      </c>
      <c r="G107" s="2">
        <f t="shared" si="9"/>
        <v>80</v>
      </c>
      <c r="I107" s="2"/>
      <c r="K107" s="2"/>
      <c r="L107">
        <f t="shared" si="10"/>
        <v>80</v>
      </c>
    </row>
    <row r="108" spans="1:12">
      <c r="A108" s="6" t="s">
        <v>164</v>
      </c>
      <c r="B108" s="6" t="s">
        <v>79</v>
      </c>
      <c r="C108" s="6" t="s">
        <v>165</v>
      </c>
      <c r="E108">
        <v>25</v>
      </c>
      <c r="F108" s="2">
        <v>30</v>
      </c>
      <c r="G108" s="2">
        <f t="shared" si="9"/>
        <v>83.333333333333343</v>
      </c>
      <c r="I108">
        <v>13</v>
      </c>
      <c r="J108" s="4" t="s">
        <v>14</v>
      </c>
      <c r="L108">
        <f>I108</f>
        <v>13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9</v>
      </c>
      <c r="F109" s="2">
        <v>16</v>
      </c>
      <c r="G109" s="2">
        <f t="shared" si="9"/>
        <v>56.25</v>
      </c>
      <c r="I109">
        <v>8</v>
      </c>
      <c r="J109" s="4" t="s">
        <v>14</v>
      </c>
      <c r="L109">
        <f>I109</f>
        <v>8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6</v>
      </c>
      <c r="F110" s="2">
        <v>9</v>
      </c>
      <c r="G110" s="2">
        <f t="shared" si="9"/>
        <v>66.666666666666657</v>
      </c>
      <c r="J110" s="4"/>
      <c r="L110" s="2">
        <f>E110</f>
        <v>6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4</v>
      </c>
      <c r="F111" s="2">
        <v>16</v>
      </c>
      <c r="G111" s="2">
        <f t="shared" si="9"/>
        <v>25</v>
      </c>
      <c r="I111">
        <v>4</v>
      </c>
      <c r="J111" s="4" t="s">
        <v>14</v>
      </c>
      <c r="L111">
        <f>I111</f>
        <v>4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2</v>
      </c>
      <c r="F112" s="2">
        <v>8</v>
      </c>
      <c r="G112" s="2">
        <f t="shared" si="9"/>
        <v>25</v>
      </c>
      <c r="L112">
        <f>E112</f>
        <v>2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9</v>
      </c>
      <c r="F117" s="2">
        <v>10</v>
      </c>
      <c r="G117" s="2">
        <f t="shared" si="11"/>
        <v>90</v>
      </c>
      <c r="L117">
        <f t="shared" si="12"/>
        <v>90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11</v>
      </c>
      <c r="F120" s="2">
        <v>12</v>
      </c>
      <c r="G120" s="2">
        <f t="shared" si="11"/>
        <v>91.666666666666657</v>
      </c>
      <c r="L120">
        <f t="shared" si="12"/>
        <v>91.666666666666657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31</v>
      </c>
      <c r="F121" s="2">
        <v>32</v>
      </c>
      <c r="G121" s="2">
        <f t="shared" si="11"/>
        <v>96.875</v>
      </c>
      <c r="L121">
        <f t="shared" si="12"/>
        <v>96.875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>
        <v>9</v>
      </c>
      <c r="F135" s="2">
        <v>10</v>
      </c>
      <c r="G135" s="2">
        <f t="shared" si="11"/>
        <v>90</v>
      </c>
      <c r="L135">
        <f t="shared" si="12"/>
        <v>90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>
        <v>11</v>
      </c>
      <c r="F138" s="2">
        <v>12</v>
      </c>
      <c r="G138" s="2">
        <f t="shared" si="11"/>
        <v>91.666666666666657</v>
      </c>
      <c r="L138">
        <f t="shared" si="12"/>
        <v>91.666666666666657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>
        <v>31</v>
      </c>
      <c r="F139" s="2">
        <v>32</v>
      </c>
      <c r="G139" s="2">
        <f t="shared" si="11"/>
        <v>96.875</v>
      </c>
      <c r="L139">
        <f t="shared" si="12"/>
        <v>96.875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6</v>
      </c>
      <c r="F140" s="2">
        <v>6</v>
      </c>
      <c r="G140" s="2">
        <f t="shared" si="11"/>
        <v>100</v>
      </c>
      <c r="L140">
        <f t="shared" si="12"/>
        <v>100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61</v>
      </c>
      <c r="F141" s="2">
        <v>65</v>
      </c>
      <c r="G141" s="2">
        <f t="shared" si="11"/>
        <v>93.84615384615384</v>
      </c>
      <c r="L141">
        <f t="shared" si="12"/>
        <v>93.84615384615384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29</v>
      </c>
      <c r="F142" s="2">
        <v>31</v>
      </c>
      <c r="G142" s="2">
        <f t="shared" si="11"/>
        <v>93.548387096774192</v>
      </c>
      <c r="L142" s="2">
        <f t="shared" si="12"/>
        <v>93.548387096774192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31</v>
      </c>
      <c r="F143" s="2">
        <v>31</v>
      </c>
      <c r="G143" s="2">
        <f t="shared" si="11"/>
        <v>100</v>
      </c>
      <c r="L143" s="2">
        <f t="shared" si="12"/>
        <v>100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20</v>
      </c>
      <c r="F144" s="2">
        <v>26</v>
      </c>
      <c r="G144" s="2">
        <f t="shared" si="11"/>
        <v>76.923076923076934</v>
      </c>
      <c r="L144" s="2">
        <f t="shared" si="12"/>
        <v>76.923076923076934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80</v>
      </c>
      <c r="F145" s="2">
        <v>88</v>
      </c>
      <c r="G145" s="2">
        <f t="shared" si="11"/>
        <v>90.909090909090907</v>
      </c>
      <c r="L145">
        <f t="shared" ref="L145:L162" si="13">G145</f>
        <v>90.909090909090907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30</v>
      </c>
      <c r="F146" s="2">
        <v>30</v>
      </c>
      <c r="G146" s="2">
        <f t="shared" si="11"/>
        <v>100</v>
      </c>
      <c r="L146">
        <f t="shared" si="13"/>
        <v>100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30</v>
      </c>
      <c r="F147" s="2">
        <v>30</v>
      </c>
      <c r="G147" s="2">
        <f t="shared" si="11"/>
        <v>100</v>
      </c>
      <c r="L147">
        <f t="shared" si="13"/>
        <v>100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60</v>
      </c>
      <c r="F148" s="2">
        <v>60</v>
      </c>
      <c r="G148" s="2">
        <f t="shared" si="11"/>
        <v>100</v>
      </c>
      <c r="L148">
        <f t="shared" si="13"/>
        <v>100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60</v>
      </c>
      <c r="F149" s="2">
        <v>60</v>
      </c>
      <c r="G149" s="2">
        <f t="shared" si="11"/>
        <v>100</v>
      </c>
      <c r="L149">
        <f t="shared" si="13"/>
        <v>100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E151" s="2">
        <v>20</v>
      </c>
      <c r="F151" s="2">
        <v>20</v>
      </c>
      <c r="G151" s="2">
        <f t="shared" ref="G151:G162" si="14">E151/F151*100</f>
        <v>100</v>
      </c>
      <c r="L151" s="2">
        <f t="shared" si="13"/>
        <v>100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E152" s="2">
        <v>20</v>
      </c>
      <c r="F152" s="2">
        <v>20</v>
      </c>
      <c r="G152" s="2">
        <f t="shared" si="14"/>
        <v>100</v>
      </c>
      <c r="L152" s="2">
        <f t="shared" si="13"/>
        <v>100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E153" s="2">
        <v>18</v>
      </c>
      <c r="F153" s="2">
        <v>20</v>
      </c>
      <c r="G153" s="2">
        <f t="shared" si="14"/>
        <v>90</v>
      </c>
      <c r="L153" s="2">
        <f t="shared" si="13"/>
        <v>90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E154" s="2">
        <v>40</v>
      </c>
      <c r="F154" s="2">
        <v>40</v>
      </c>
      <c r="G154" s="2">
        <f t="shared" si="14"/>
        <v>100</v>
      </c>
      <c r="L154" s="2">
        <f t="shared" si="13"/>
        <v>100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E155" s="2">
        <v>38</v>
      </c>
      <c r="F155" s="2">
        <v>40</v>
      </c>
      <c r="G155" s="2">
        <f t="shared" si="14"/>
        <v>95</v>
      </c>
      <c r="L155" s="2">
        <f t="shared" si="13"/>
        <v>95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E156" s="2">
        <v>40</v>
      </c>
      <c r="F156" s="2">
        <v>40</v>
      </c>
      <c r="G156" s="2">
        <f t="shared" si="14"/>
        <v>100</v>
      </c>
      <c r="L156" s="2">
        <f t="shared" si="13"/>
        <v>100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E157" s="2">
        <v>38</v>
      </c>
      <c r="F157" s="2">
        <v>40</v>
      </c>
      <c r="G157" s="2">
        <f t="shared" si="14"/>
        <v>95</v>
      </c>
      <c r="L157" s="2">
        <f t="shared" si="13"/>
        <v>95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E158">
        <v>78</v>
      </c>
      <c r="F158" s="2">
        <v>80</v>
      </c>
      <c r="G158" s="2">
        <f t="shared" si="14"/>
        <v>97.5</v>
      </c>
      <c r="L158">
        <f t="shared" si="13"/>
        <v>97.5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10</v>
      </c>
      <c r="F159" s="2">
        <v>10</v>
      </c>
      <c r="G159" s="2">
        <f t="shared" si="14"/>
        <v>100</v>
      </c>
      <c r="K159" s="2"/>
      <c r="L159">
        <f t="shared" si="13"/>
        <v>100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8</v>
      </c>
      <c r="F160" s="2">
        <v>10</v>
      </c>
      <c r="G160" s="2">
        <f t="shared" si="14"/>
        <v>80</v>
      </c>
      <c r="L160">
        <f t="shared" si="13"/>
        <v>80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8</v>
      </c>
      <c r="F161" s="2">
        <v>10</v>
      </c>
      <c r="G161" s="2">
        <f t="shared" si="14"/>
        <v>80</v>
      </c>
      <c r="L161">
        <f t="shared" si="13"/>
        <v>80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26</v>
      </c>
      <c r="F162" s="2">
        <v>30</v>
      </c>
      <c r="G162" s="2">
        <f t="shared" si="14"/>
        <v>86.666666666666671</v>
      </c>
      <c r="L162">
        <f t="shared" si="13"/>
        <v>86.666666666666671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L163">
        <f t="shared" ref="L163:L176" si="15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L164">
        <f t="shared" si="15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60</v>
      </c>
      <c r="F167" s="2">
        <v>60</v>
      </c>
      <c r="L167">
        <f t="shared" si="15"/>
        <v>60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</v>
      </c>
      <c r="F168" s="2">
        <v>2</v>
      </c>
      <c r="J168" s="2" t="s">
        <v>337</v>
      </c>
      <c r="K168" s="2"/>
      <c r="L168">
        <f t="shared" si="15"/>
        <v>0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L169">
        <f t="shared" si="15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6</v>
      </c>
      <c r="F170" s="2">
        <v>6</v>
      </c>
      <c r="L170">
        <f t="shared" si="15"/>
        <v>6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9</v>
      </c>
      <c r="F173" s="2">
        <v>9</v>
      </c>
      <c r="L173">
        <f t="shared" si="15"/>
        <v>9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4</v>
      </c>
      <c r="F174" s="2">
        <v>4</v>
      </c>
      <c r="L174">
        <f t="shared" si="15"/>
        <v>4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4</v>
      </c>
      <c r="F175" s="2">
        <v>4</v>
      </c>
      <c r="L175">
        <f t="shared" si="15"/>
        <v>4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33</v>
      </c>
      <c r="F176" s="2">
        <v>33</v>
      </c>
      <c r="L176">
        <f t="shared" si="15"/>
        <v>33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40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100</v>
      </c>
      <c r="F2" s="4">
        <v>100</v>
      </c>
      <c r="G2" s="4"/>
      <c r="H2" s="4"/>
      <c r="I2" s="4"/>
      <c r="J2" s="2" t="s">
        <v>244</v>
      </c>
      <c r="K2" s="2" t="s">
        <v>371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>
        <v>4</v>
      </c>
      <c r="F3" s="2">
        <v>15</v>
      </c>
      <c r="G3" s="2"/>
      <c r="H3" s="2"/>
      <c r="I3" s="2"/>
      <c r="J3" s="2" t="s">
        <v>9</v>
      </c>
      <c r="K3" s="2" t="s">
        <v>372</v>
      </c>
      <c r="L3" s="2">
        <f>E3</f>
        <v>4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22</v>
      </c>
      <c r="F4" s="2">
        <v>30</v>
      </c>
      <c r="G4" s="2">
        <f>E4/F4*100</f>
        <v>73.333333333333329</v>
      </c>
      <c r="H4" s="2"/>
      <c r="I4" s="2"/>
      <c r="J4" s="2" t="s">
        <v>52</v>
      </c>
      <c r="K4" s="2"/>
      <c r="L4" s="2">
        <f>E4</f>
        <v>22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13</v>
      </c>
      <c r="F5" s="2">
        <v>48</v>
      </c>
      <c r="G5" s="2"/>
      <c r="H5" s="2"/>
      <c r="I5" s="2">
        <v>3</v>
      </c>
      <c r="J5" s="4" t="s">
        <v>14</v>
      </c>
      <c r="K5" s="2"/>
      <c r="L5" s="2">
        <f>I5</f>
        <v>3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3</v>
      </c>
      <c r="F6" s="2">
        <v>12</v>
      </c>
      <c r="G6" s="2">
        <f>E6/F6*100</f>
        <v>25</v>
      </c>
      <c r="H6" s="2"/>
      <c r="I6" s="2"/>
      <c r="J6" s="2"/>
      <c r="K6" s="2"/>
      <c r="L6" s="2">
        <f>E6</f>
        <v>3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6</v>
      </c>
      <c r="F7" s="2">
        <v>12</v>
      </c>
      <c r="G7" s="2">
        <f>E7/F7*100</f>
        <v>50</v>
      </c>
      <c r="H7" s="2"/>
      <c r="I7" s="2"/>
      <c r="J7" s="2"/>
      <c r="K7" s="2"/>
      <c r="L7" s="2">
        <f>E7</f>
        <v>6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9</v>
      </c>
      <c r="F8" s="2">
        <v>24</v>
      </c>
      <c r="G8" s="2">
        <f>E8/F8*100</f>
        <v>37.5</v>
      </c>
      <c r="H8" s="2"/>
      <c r="I8" s="2">
        <v>9</v>
      </c>
      <c r="J8" s="4" t="s">
        <v>14</v>
      </c>
      <c r="K8" s="2"/>
      <c r="L8" s="2">
        <f>I8</f>
        <v>9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33</v>
      </c>
      <c r="F9" s="2">
        <v>36</v>
      </c>
      <c r="G9" s="2">
        <f>E9/F9*100</f>
        <v>91.666666666666657</v>
      </c>
      <c r="H9" s="2"/>
      <c r="I9" s="2">
        <v>11</v>
      </c>
      <c r="J9" s="2" t="s">
        <v>14</v>
      </c>
      <c r="K9" s="2"/>
      <c r="L9" s="2">
        <f>I9</f>
        <v>11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9</v>
      </c>
      <c r="F10" s="2">
        <v>12</v>
      </c>
      <c r="G10" s="2">
        <f>E10/F10*100</f>
        <v>75</v>
      </c>
      <c r="H10" s="2"/>
      <c r="I10" s="2"/>
      <c r="J10" s="2"/>
      <c r="K10" s="9">
        <v>42075</v>
      </c>
      <c r="L10" s="2">
        <f>E10</f>
        <v>9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19</v>
      </c>
      <c r="F11" s="5">
        <v>50</v>
      </c>
      <c r="G11" s="2"/>
      <c r="H11" s="2"/>
      <c r="I11" s="2">
        <v>7</v>
      </c>
      <c r="J11" s="4" t="s">
        <v>14</v>
      </c>
      <c r="K11" s="2"/>
      <c r="L11" s="2">
        <f>I11</f>
        <v>7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19</v>
      </c>
      <c r="F12" s="5">
        <v>50</v>
      </c>
      <c r="G12" s="2"/>
      <c r="H12" s="2"/>
      <c r="I12" s="2">
        <v>9</v>
      </c>
      <c r="J12" s="4" t="s">
        <v>14</v>
      </c>
      <c r="K12" s="2"/>
      <c r="L12" s="2">
        <f>I12</f>
        <v>9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22</v>
      </c>
      <c r="F13" s="5">
        <v>30</v>
      </c>
      <c r="G13" s="2">
        <f>E13/F13*100</f>
        <v>73.333333333333329</v>
      </c>
      <c r="H13" s="2"/>
      <c r="I13" s="2"/>
      <c r="J13" s="4"/>
      <c r="K13" s="2"/>
      <c r="L13" s="2">
        <f>G13</f>
        <v>73.333333333333329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39</v>
      </c>
      <c r="F14" s="2">
        <v>50</v>
      </c>
      <c r="G14" s="2">
        <f>E14/F14*100</f>
        <v>78</v>
      </c>
      <c r="H14" s="2"/>
      <c r="I14" s="2"/>
      <c r="J14" s="4" t="s">
        <v>17</v>
      </c>
      <c r="K14" s="2"/>
      <c r="L14" s="2">
        <f>E14</f>
        <v>39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17</v>
      </c>
      <c r="F15" s="2">
        <v>20</v>
      </c>
      <c r="G15" s="2">
        <f>E15/F15*100</f>
        <v>85</v>
      </c>
      <c r="H15" s="2">
        <v>186</v>
      </c>
      <c r="I15" s="2"/>
      <c r="J15" s="4"/>
      <c r="K15" s="2"/>
      <c r="L15" s="2">
        <f>E15</f>
        <v>17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12</v>
      </c>
      <c r="F16" s="2">
        <v>20</v>
      </c>
      <c r="G16" s="2">
        <f>E16/F16*100</f>
        <v>60</v>
      </c>
      <c r="H16" s="2">
        <v>204</v>
      </c>
      <c r="I16" s="2">
        <v>9</v>
      </c>
      <c r="J16" s="4" t="s">
        <v>14</v>
      </c>
      <c r="K16" s="2"/>
      <c r="L16" s="2">
        <f>I16</f>
        <v>9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11</v>
      </c>
      <c r="F17" s="2">
        <v>20</v>
      </c>
      <c r="G17" s="2"/>
      <c r="H17" s="2"/>
      <c r="I17" s="2">
        <v>9</v>
      </c>
      <c r="J17" s="4" t="s">
        <v>14</v>
      </c>
      <c r="K17" s="2"/>
      <c r="L17" s="2">
        <f>I17</f>
        <v>9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4</v>
      </c>
      <c r="F18" s="2">
        <v>5</v>
      </c>
      <c r="G18" s="2">
        <f>E18/F18*100</f>
        <v>80</v>
      </c>
      <c r="H18" s="2"/>
      <c r="I18" s="2"/>
      <c r="J18" s="2"/>
      <c r="K18" s="2"/>
      <c r="L18" s="2">
        <f>G18</f>
        <v>80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3</v>
      </c>
      <c r="F19" s="2">
        <v>5</v>
      </c>
      <c r="G19" s="2">
        <f>E19/F19*100</f>
        <v>60</v>
      </c>
      <c r="H19" s="2"/>
      <c r="I19" s="2"/>
      <c r="J19" s="2"/>
      <c r="K19" s="2"/>
      <c r="L19" s="2">
        <f>G19</f>
        <v>60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7</v>
      </c>
      <c r="F20" s="2">
        <v>10</v>
      </c>
      <c r="G20" s="2"/>
      <c r="H20" s="2"/>
      <c r="I20" s="2">
        <v>9</v>
      </c>
      <c r="J20" s="2" t="s">
        <v>14</v>
      </c>
      <c r="K20" s="2"/>
      <c r="L20" s="2">
        <f>I20</f>
        <v>9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25</v>
      </c>
      <c r="F25" s="2">
        <v>30</v>
      </c>
      <c r="G25" s="2">
        <f>E25/F25*100</f>
        <v>83.333333333333343</v>
      </c>
      <c r="H25" s="2"/>
      <c r="I25" s="2">
        <v>13</v>
      </c>
      <c r="J25" s="4" t="s">
        <v>14</v>
      </c>
      <c r="K25" s="2"/>
      <c r="L25" s="2">
        <f>I25</f>
        <v>13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116</v>
      </c>
      <c r="I26" s="2">
        <v>1</v>
      </c>
      <c r="J26" s="4" t="s">
        <v>14</v>
      </c>
      <c r="K26" s="2"/>
      <c r="L26" s="2">
        <f>I26</f>
        <v>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/>
      <c r="I27" s="2"/>
      <c r="J27" s="4" t="s">
        <v>14</v>
      </c>
      <c r="K27" s="2" t="s">
        <v>377</v>
      </c>
      <c r="L27" s="2" t="s">
        <v>376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9</v>
      </c>
      <c r="F28" s="2">
        <v>16</v>
      </c>
      <c r="G28" s="2">
        <f>E28/F28*100</f>
        <v>56.25</v>
      </c>
      <c r="H28" s="2"/>
      <c r="I28" s="2">
        <v>8</v>
      </c>
      <c r="J28" s="4" t="s">
        <v>14</v>
      </c>
      <c r="K28" s="2"/>
      <c r="L28" s="2">
        <f>I28</f>
        <v>8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6</v>
      </c>
      <c r="F29" s="2">
        <v>9</v>
      </c>
      <c r="G29" s="2">
        <f>E29/F29*100</f>
        <v>66.666666666666657</v>
      </c>
      <c r="H29" s="2"/>
      <c r="I29" s="2"/>
      <c r="J29" s="4"/>
      <c r="K29" s="2"/>
      <c r="L29" s="2">
        <f>E29</f>
        <v>6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4</v>
      </c>
      <c r="F30" s="2">
        <v>16</v>
      </c>
      <c r="G30" s="2">
        <f>E30/F30*100</f>
        <v>25</v>
      </c>
      <c r="H30" s="2"/>
      <c r="I30" s="2">
        <v>4</v>
      </c>
      <c r="J30" s="4" t="s">
        <v>14</v>
      </c>
      <c r="K30" s="2"/>
      <c r="L30" s="2">
        <f>I30</f>
        <v>4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2</v>
      </c>
      <c r="F31" s="2">
        <v>8</v>
      </c>
      <c r="G31" s="2">
        <f>E31/F31*100</f>
        <v>25</v>
      </c>
      <c r="H31" s="2"/>
      <c r="I31" s="2"/>
      <c r="J31" s="2"/>
      <c r="K31" s="2"/>
      <c r="L31" s="2">
        <f>E31</f>
        <v>2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20</v>
      </c>
      <c r="F32" s="2"/>
      <c r="G32" s="2"/>
      <c r="H32" s="2"/>
      <c r="I32" s="2">
        <v>5</v>
      </c>
      <c r="J32" s="2" t="s">
        <v>14</v>
      </c>
      <c r="K32" s="2"/>
      <c r="L32" s="2">
        <f>I32</f>
        <v>5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12</v>
      </c>
      <c r="F33" s="2"/>
      <c r="G33" s="2"/>
      <c r="H33" s="2"/>
      <c r="I33" s="2"/>
      <c r="J33" s="2" t="s">
        <v>373</v>
      </c>
      <c r="K33" s="2" t="s">
        <v>374</v>
      </c>
      <c r="L33" s="2">
        <f>E33</f>
        <v>12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57</v>
      </c>
      <c r="F34" s="2">
        <v>60</v>
      </c>
      <c r="G34" s="2"/>
      <c r="H34" s="2"/>
      <c r="I34" s="2">
        <v>10</v>
      </c>
      <c r="J34" s="4" t="s">
        <v>14</v>
      </c>
      <c r="K34" s="2" t="s">
        <v>375</v>
      </c>
      <c r="L34" s="2">
        <f>I34</f>
        <v>10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>E37/F37*100</f>
        <v>80</v>
      </c>
      <c r="H37" s="2"/>
      <c r="I37" s="2"/>
      <c r="J37" s="2"/>
      <c r="K37" s="2"/>
      <c r="L37" s="2">
        <f>G37</f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5</v>
      </c>
      <c r="F39" s="2">
        <v>5</v>
      </c>
      <c r="G39" s="2">
        <f>E39/F39*100</f>
        <v>100</v>
      </c>
      <c r="H39" s="2"/>
      <c r="I39" s="2"/>
      <c r="J39" s="2"/>
      <c r="K39" s="2"/>
      <c r="L39" s="2">
        <f>G39</f>
        <v>100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9</v>
      </c>
      <c r="F41" s="2">
        <v>10</v>
      </c>
      <c r="G41" s="2">
        <f>E41/F41*100</f>
        <v>90</v>
      </c>
      <c r="H41" s="2"/>
      <c r="I41" s="2"/>
      <c r="J41" s="2" t="s">
        <v>40</v>
      </c>
      <c r="K41" s="2"/>
      <c r="L41" s="2">
        <f>G41</f>
        <v>90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7</v>
      </c>
      <c r="F42" s="2">
        <v>7</v>
      </c>
      <c r="G42" s="2">
        <f>E42/F42*100</f>
        <v>100</v>
      </c>
      <c r="H42" s="2"/>
      <c r="I42" s="2"/>
      <c r="J42" s="2" t="s">
        <v>41</v>
      </c>
      <c r="K42" s="2"/>
      <c r="L42" s="2">
        <f>G42</f>
        <v>100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21</v>
      </c>
      <c r="F43" s="2">
        <v>22</v>
      </c>
      <c r="G43" s="2">
        <f>E43/F43*100</f>
        <v>95.454545454545453</v>
      </c>
      <c r="H43" s="2"/>
      <c r="I43" s="2"/>
      <c r="J43" s="2"/>
      <c r="K43" s="2"/>
      <c r="L43" s="2">
        <f>G43</f>
        <v>95.454545454545453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>E53/F53*100</f>
        <v>100</v>
      </c>
      <c r="H53" s="2"/>
      <c r="I53" s="2"/>
      <c r="J53" s="2" t="s">
        <v>39</v>
      </c>
      <c r="K53" s="2"/>
      <c r="L53" s="2">
        <f>G53</f>
        <v>100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5</v>
      </c>
      <c r="F54" s="2">
        <v>5</v>
      </c>
      <c r="G54" s="2">
        <f>E54/F54*100</f>
        <v>100</v>
      </c>
      <c r="H54" s="2"/>
      <c r="I54" s="2"/>
      <c r="J54" s="2" t="s">
        <v>39</v>
      </c>
      <c r="K54" s="2"/>
      <c r="L54" s="2">
        <f>G54</f>
        <v>100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5</v>
      </c>
      <c r="F55" s="2">
        <v>5</v>
      </c>
      <c r="G55" s="2">
        <f>E55/F55*100</f>
        <v>100</v>
      </c>
      <c r="H55" s="2"/>
      <c r="I55" s="2"/>
      <c r="J55" s="2" t="s">
        <v>39</v>
      </c>
      <c r="K55" s="2"/>
      <c r="L55" s="2">
        <f>G55</f>
        <v>100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5</v>
      </c>
      <c r="F56" s="2">
        <v>5</v>
      </c>
      <c r="G56" s="2">
        <f>E56/F56*100</f>
        <v>100</v>
      </c>
      <c r="H56" s="2"/>
      <c r="I56" s="2"/>
      <c r="J56" s="2" t="s">
        <v>39</v>
      </c>
      <c r="K56" s="2"/>
      <c r="L56" s="2">
        <f>G56</f>
        <v>100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5</v>
      </c>
      <c r="F57" s="2">
        <v>5</v>
      </c>
      <c r="G57" s="2">
        <f>E57/F57*100</f>
        <v>100</v>
      </c>
      <c r="H57" s="2"/>
      <c r="I57" s="2"/>
      <c r="J57" s="2" t="s">
        <v>77</v>
      </c>
      <c r="K57" s="2"/>
      <c r="L57" s="2">
        <f>G57</f>
        <v>100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5</v>
      </c>
      <c r="F58" s="2">
        <v>5</v>
      </c>
      <c r="G58" s="2">
        <f>E58/F58*100</f>
        <v>100</v>
      </c>
      <c r="H58" s="2"/>
      <c r="I58" s="2"/>
      <c r="J58" s="2" t="s">
        <v>78</v>
      </c>
      <c r="K58" s="2"/>
      <c r="L58" s="2">
        <f>G58</f>
        <v>100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15</v>
      </c>
      <c r="F59" s="2">
        <v>15</v>
      </c>
      <c r="G59" s="2">
        <f>E59/F59*100</f>
        <v>100</v>
      </c>
      <c r="H59" s="2"/>
      <c r="I59" s="2"/>
      <c r="J59" s="2"/>
      <c r="K59" s="2"/>
      <c r="L59" s="2">
        <f>G59</f>
        <v>100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15</v>
      </c>
      <c r="F60" s="2">
        <v>15</v>
      </c>
      <c r="G60" s="2">
        <f>E60/F60*100</f>
        <v>100</v>
      </c>
      <c r="H60" s="2"/>
      <c r="I60" s="2"/>
      <c r="J60" s="2"/>
      <c r="K60" s="2"/>
      <c r="L60" s="2">
        <f>G60</f>
        <v>100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30</v>
      </c>
      <c r="F61" s="2">
        <v>30</v>
      </c>
      <c r="G61" s="2">
        <f>E61/F61*100</f>
        <v>100</v>
      </c>
      <c r="H61" s="2"/>
      <c r="I61" s="2"/>
      <c r="J61" s="2"/>
      <c r="K61" s="2"/>
      <c r="L61" s="2">
        <f>G61</f>
        <v>100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3</v>
      </c>
      <c r="F63" s="2">
        <v>5</v>
      </c>
      <c r="G63" s="2">
        <f>E63/F63*100</f>
        <v>60</v>
      </c>
      <c r="H63" s="2"/>
      <c r="I63" s="2"/>
      <c r="J63" s="2" t="s">
        <v>39</v>
      </c>
      <c r="K63" s="2"/>
      <c r="L63" s="2">
        <f>G63</f>
        <v>60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5</v>
      </c>
      <c r="F66" s="2">
        <v>5</v>
      </c>
      <c r="G66" s="2">
        <f>E66/F66*100</f>
        <v>100</v>
      </c>
      <c r="H66" s="2"/>
      <c r="I66" s="2"/>
      <c r="J66" s="2" t="s">
        <v>162</v>
      </c>
      <c r="K66" s="2"/>
      <c r="L66" s="2">
        <f>G66</f>
        <v>100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1</v>
      </c>
      <c r="F67" s="2">
        <v>5</v>
      </c>
      <c r="G67" s="2">
        <f>E67/F67*100</f>
        <v>20</v>
      </c>
      <c r="H67" s="2"/>
      <c r="I67" s="2"/>
      <c r="J67" s="2" t="s">
        <v>163</v>
      </c>
      <c r="K67" s="2"/>
      <c r="L67" s="2">
        <f>G67</f>
        <v>20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15</v>
      </c>
      <c r="F68" s="2">
        <v>15</v>
      </c>
      <c r="G68" s="2">
        <f>E68/F68*100</f>
        <v>100</v>
      </c>
      <c r="H68" s="2"/>
      <c r="I68" s="2"/>
      <c r="J68" s="2"/>
      <c r="K68" s="2"/>
      <c r="L68" s="2">
        <f>G68</f>
        <v>100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9</v>
      </c>
      <c r="F69" s="2">
        <v>15</v>
      </c>
      <c r="G69" s="2">
        <f>E69/F69*100</f>
        <v>60</v>
      </c>
      <c r="H69" s="2"/>
      <c r="I69" s="2"/>
      <c r="J69" s="2"/>
      <c r="K69" s="2"/>
      <c r="L69" s="2">
        <f>G69</f>
        <v>60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24</v>
      </c>
      <c r="F70" s="2">
        <v>30</v>
      </c>
      <c r="G70" s="2">
        <f>E70/F70*100</f>
        <v>80</v>
      </c>
      <c r="H70" s="2"/>
      <c r="I70" s="2"/>
      <c r="J70" s="2"/>
      <c r="K70" s="2"/>
      <c r="L70" s="2">
        <f>G70</f>
        <v>80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10</v>
      </c>
      <c r="F73" s="2">
        <v>10</v>
      </c>
      <c r="G73" s="2">
        <f>E73/F73*100</f>
        <v>100</v>
      </c>
      <c r="H73" s="2"/>
      <c r="I73" s="2"/>
      <c r="J73" s="2"/>
      <c r="K73" s="2"/>
      <c r="L73" s="2">
        <f>G73</f>
        <v>100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9</v>
      </c>
      <c r="F75" s="2">
        <v>10</v>
      </c>
      <c r="G75" s="2">
        <f>E75/F75*100</f>
        <v>90</v>
      </c>
      <c r="H75" s="2"/>
      <c r="I75" s="2"/>
      <c r="J75" s="2"/>
      <c r="K75" s="2"/>
      <c r="L75" s="2">
        <f>G75</f>
        <v>90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15</v>
      </c>
      <c r="F77" s="2">
        <v>15</v>
      </c>
      <c r="G77" s="2">
        <f>E77/F77*100</f>
        <v>100</v>
      </c>
      <c r="H77" s="2"/>
      <c r="I77" s="2"/>
      <c r="J77" s="2"/>
      <c r="K77" s="2"/>
      <c r="L77" s="2">
        <f>G77</f>
        <v>100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11</v>
      </c>
      <c r="F78" s="2">
        <v>12</v>
      </c>
      <c r="G78" s="2">
        <f>E78/F78*100</f>
        <v>91.666666666666657</v>
      </c>
      <c r="H78" s="2"/>
      <c r="I78" s="2"/>
      <c r="J78" s="2"/>
      <c r="K78" s="2"/>
      <c r="L78" s="2">
        <f>G78</f>
        <v>91.666666666666657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31</v>
      </c>
      <c r="F79" s="2">
        <v>32</v>
      </c>
      <c r="G79" s="2">
        <f>E79/F79*100</f>
        <v>96.875</v>
      </c>
      <c r="H79" s="2"/>
      <c r="I79" s="2"/>
      <c r="J79" s="2"/>
      <c r="K79" s="2"/>
      <c r="L79" s="2">
        <f>G79</f>
        <v>96.875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10</v>
      </c>
      <c r="F84" s="2">
        <v>10</v>
      </c>
      <c r="G84" s="2">
        <f>E84/F84*100</f>
        <v>100</v>
      </c>
      <c r="H84" s="2"/>
      <c r="I84" s="2"/>
      <c r="J84" s="2"/>
      <c r="K84" s="2"/>
      <c r="L84" s="2">
        <f>G84</f>
        <v>100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12</v>
      </c>
      <c r="F87" s="2">
        <v>12</v>
      </c>
      <c r="G87" s="2">
        <f>E87/F87*100</f>
        <v>100</v>
      </c>
      <c r="H87" s="2"/>
      <c r="I87" s="2"/>
      <c r="J87" s="2"/>
      <c r="K87" s="2"/>
      <c r="L87" s="2">
        <f>G87</f>
        <v>100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32</v>
      </c>
      <c r="F88" s="2">
        <v>32</v>
      </c>
      <c r="G88" s="2">
        <f>E88/F88*100</f>
        <v>100</v>
      </c>
      <c r="H88" s="2"/>
      <c r="I88" s="2"/>
      <c r="J88" s="2"/>
      <c r="K88" s="2"/>
      <c r="L88" s="2">
        <f>G88</f>
        <v>100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10</v>
      </c>
      <c r="F91" s="2">
        <v>10</v>
      </c>
      <c r="G91" s="2">
        <f>E91/F91*100</f>
        <v>100</v>
      </c>
      <c r="H91" s="2"/>
      <c r="I91" s="2"/>
      <c r="J91" s="2"/>
      <c r="K91" s="2"/>
      <c r="L91" s="2">
        <f>G91</f>
        <v>100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9</v>
      </c>
      <c r="F93" s="2">
        <v>10</v>
      </c>
      <c r="G93" s="2">
        <f>E93/F93*100</f>
        <v>90</v>
      </c>
      <c r="H93" s="2"/>
      <c r="I93" s="2"/>
      <c r="J93" s="2"/>
      <c r="K93" s="2"/>
      <c r="L93" s="2">
        <f>G93</f>
        <v>90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15</v>
      </c>
      <c r="F95" s="2">
        <v>15</v>
      </c>
      <c r="G95" s="2">
        <f>E95/F95*100</f>
        <v>100</v>
      </c>
      <c r="H95" s="2"/>
      <c r="I95" s="2"/>
      <c r="J95" s="2"/>
      <c r="K95" s="2"/>
      <c r="L95" s="2">
        <f>G95</f>
        <v>100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11</v>
      </c>
      <c r="F96" s="2">
        <v>12</v>
      </c>
      <c r="G96" s="2">
        <f>E96/F96*100</f>
        <v>91.666666666666657</v>
      </c>
      <c r="H96" s="2"/>
      <c r="I96" s="2"/>
      <c r="J96" s="2"/>
      <c r="K96" s="2"/>
      <c r="L96" s="2">
        <f>G96</f>
        <v>91.666666666666657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31</v>
      </c>
      <c r="F97" s="2">
        <v>32</v>
      </c>
      <c r="G97" s="2">
        <f>E97/F97*100</f>
        <v>96.875</v>
      </c>
      <c r="H97" s="2"/>
      <c r="I97" s="2"/>
      <c r="J97" s="2"/>
      <c r="K97" s="2"/>
      <c r="L97" s="2">
        <f>G97</f>
        <v>96.875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376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376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/>
      <c r="H100" s="2"/>
      <c r="I100" s="2"/>
      <c r="J100" s="2"/>
      <c r="K100" s="2"/>
      <c r="L100" s="2" t="s">
        <v>376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24</v>
      </c>
      <c r="F101" s="2">
        <v>32</v>
      </c>
      <c r="G101" s="2">
        <f>E101/F101*100</f>
        <v>75</v>
      </c>
      <c r="H101" s="2"/>
      <c r="I101" s="2"/>
      <c r="J101" s="2"/>
      <c r="K101" s="2"/>
      <c r="L101" s="2">
        <f>G101</f>
        <v>75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28</v>
      </c>
      <c r="F102" s="2">
        <v>32</v>
      </c>
      <c r="G102" s="2">
        <f>E102/F102*100</f>
        <v>87.5</v>
      </c>
      <c r="H102" s="2"/>
      <c r="I102" s="2"/>
      <c r="J102" s="2"/>
      <c r="K102" s="2"/>
      <c r="L102" s="2">
        <f>G102</f>
        <v>87.5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52</v>
      </c>
      <c r="F103" s="2">
        <v>64</v>
      </c>
      <c r="G103" s="2">
        <f>E103/F103*100</f>
        <v>81.25</v>
      </c>
      <c r="H103" s="2"/>
      <c r="I103" s="2"/>
      <c r="J103" s="2" t="s">
        <v>133</v>
      </c>
      <c r="K103" s="2"/>
      <c r="L103" s="2">
        <f>G103</f>
        <v>81.25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10</v>
      </c>
      <c r="F104" s="2">
        <v>10</v>
      </c>
      <c r="G104" s="2">
        <f>E104/F104*100</f>
        <v>100</v>
      </c>
      <c r="H104" s="2"/>
      <c r="I104" s="2"/>
      <c r="J104" s="2"/>
      <c r="K104" s="2"/>
      <c r="L104" s="2">
        <f>G104</f>
        <v>100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8</v>
      </c>
      <c r="F105" s="2">
        <v>10</v>
      </c>
      <c r="G105" s="2">
        <f>E105/F105*100</f>
        <v>80</v>
      </c>
      <c r="H105" s="2"/>
      <c r="I105" s="2"/>
      <c r="J105" s="2" t="s">
        <v>59</v>
      </c>
      <c r="K105" s="2"/>
      <c r="L105" s="2">
        <f>G105</f>
        <v>80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209</v>
      </c>
      <c r="F106" s="2">
        <v>228</v>
      </c>
      <c r="G106" s="2"/>
      <c r="H106" s="2"/>
      <c r="I106" s="2">
        <v>98</v>
      </c>
      <c r="J106" s="2"/>
      <c r="K106" s="2" t="s">
        <v>378</v>
      </c>
      <c r="L106" s="2">
        <f>I106</f>
        <v>98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10</v>
      </c>
      <c r="F107" s="2">
        <v>10</v>
      </c>
      <c r="G107" s="2">
        <f>E107/F107*100</f>
        <v>100</v>
      </c>
      <c r="H107" s="2"/>
      <c r="I107" s="2"/>
      <c r="J107" s="2"/>
      <c r="K107" s="2"/>
      <c r="L107" s="2">
        <f>G107</f>
        <v>100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8</v>
      </c>
      <c r="F108" s="2">
        <v>10</v>
      </c>
      <c r="G108" s="2">
        <f>E108/F108*100</f>
        <v>80</v>
      </c>
      <c r="H108" s="2"/>
      <c r="I108" s="2"/>
      <c r="J108" s="2"/>
      <c r="K108" s="2"/>
      <c r="L108" s="2">
        <f>G108</f>
        <v>80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8</v>
      </c>
      <c r="F109" s="2">
        <v>10</v>
      </c>
      <c r="G109" s="2">
        <f>E109/F109*100</f>
        <v>80</v>
      </c>
      <c r="H109" s="2"/>
      <c r="I109" s="2"/>
      <c r="J109" s="2"/>
      <c r="K109" s="2"/>
      <c r="L109" s="2">
        <f>G109</f>
        <v>80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26</v>
      </c>
      <c r="F110" s="2">
        <v>30</v>
      </c>
      <c r="G110" s="2">
        <f>E110/F110*100</f>
        <v>86.666666666666671</v>
      </c>
      <c r="H110" s="2"/>
      <c r="I110" s="2"/>
      <c r="J110" s="2"/>
      <c r="K110" s="2"/>
      <c r="L110" s="2">
        <f>G110</f>
        <v>86.666666666666671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>
        <v>20</v>
      </c>
      <c r="F111" s="2">
        <v>20</v>
      </c>
      <c r="G111" s="2">
        <f>E111/F111*100</f>
        <v>100</v>
      </c>
      <c r="H111" s="2"/>
      <c r="I111" s="2"/>
      <c r="J111" s="2"/>
      <c r="K111" s="2"/>
      <c r="L111" s="2">
        <f>G111</f>
        <v>100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>
        <v>20</v>
      </c>
      <c r="F112" s="2">
        <v>20</v>
      </c>
      <c r="G112" s="2">
        <f>E112/F112*100</f>
        <v>100</v>
      </c>
      <c r="H112" s="2"/>
      <c r="I112" s="2"/>
      <c r="J112" s="2"/>
      <c r="K112" s="2"/>
      <c r="L112" s="2">
        <f>G112</f>
        <v>100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>
        <v>20</v>
      </c>
      <c r="F113" s="2">
        <v>20</v>
      </c>
      <c r="G113" s="2">
        <f>E113/F113*100</f>
        <v>100</v>
      </c>
      <c r="H113" s="2"/>
      <c r="I113" s="2"/>
      <c r="J113" s="2"/>
      <c r="K113" s="2"/>
      <c r="L113" s="2">
        <f>G113</f>
        <v>100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>
        <v>18</v>
      </c>
      <c r="F114" s="2">
        <v>20</v>
      </c>
      <c r="G114" s="2">
        <f>E114/F114*100</f>
        <v>90</v>
      </c>
      <c r="H114" s="2"/>
      <c r="I114" s="2"/>
      <c r="J114" s="2"/>
      <c r="K114" s="2"/>
      <c r="L114" s="2">
        <f>G114</f>
        <v>90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>
        <v>40</v>
      </c>
      <c r="F115" s="2">
        <v>40</v>
      </c>
      <c r="G115" s="2">
        <f>E115/F115*100</f>
        <v>100</v>
      </c>
      <c r="H115" s="2"/>
      <c r="I115" s="2"/>
      <c r="J115" s="2"/>
      <c r="K115" s="2"/>
      <c r="L115" s="2">
        <f>G115</f>
        <v>100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>
        <v>38</v>
      </c>
      <c r="F116" s="2">
        <v>40</v>
      </c>
      <c r="G116" s="2">
        <f>E116/F116*100</f>
        <v>95</v>
      </c>
      <c r="H116" s="2"/>
      <c r="I116" s="2"/>
      <c r="J116" s="2"/>
      <c r="K116" s="2"/>
      <c r="L116" s="2">
        <f>G116</f>
        <v>95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>
        <v>40</v>
      </c>
      <c r="F117" s="2">
        <v>40</v>
      </c>
      <c r="G117" s="2">
        <f>E117/F117*100</f>
        <v>100</v>
      </c>
      <c r="H117" s="2"/>
      <c r="I117" s="2"/>
      <c r="J117" s="2"/>
      <c r="K117" s="2"/>
      <c r="L117" s="2">
        <f>G117</f>
        <v>100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>
        <v>38</v>
      </c>
      <c r="F118" s="2">
        <v>40</v>
      </c>
      <c r="G118" s="2">
        <f>E118/F118*100</f>
        <v>95</v>
      </c>
      <c r="H118" s="2"/>
      <c r="I118" s="2"/>
      <c r="J118" s="2"/>
      <c r="K118" s="2"/>
      <c r="L118" s="2">
        <f>G118</f>
        <v>95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>
        <v>78</v>
      </c>
      <c r="F119" s="2">
        <v>80</v>
      </c>
      <c r="G119" s="2">
        <f>E119/F119*100</f>
        <v>97.5</v>
      </c>
      <c r="H119" s="2"/>
      <c r="I119" s="2"/>
      <c r="J119" s="2"/>
      <c r="K119" s="2"/>
      <c r="L119" s="2">
        <f>G119</f>
        <v>97.5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29</v>
      </c>
      <c r="F120" s="2">
        <v>30</v>
      </c>
      <c r="G120" s="2">
        <f>E120/F120*100</f>
        <v>96.666666666666671</v>
      </c>
      <c r="H120" s="2"/>
      <c r="I120" s="2"/>
      <c r="J120" s="2"/>
      <c r="K120" s="2"/>
      <c r="L120" s="2">
        <f>G120</f>
        <v>96.666666666666671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29</v>
      </c>
      <c r="F121" s="2">
        <v>30</v>
      </c>
      <c r="G121" s="2">
        <f>E121/F121*100</f>
        <v>96.666666666666671</v>
      </c>
      <c r="H121" s="2"/>
      <c r="I121" s="2"/>
      <c r="J121" s="2"/>
      <c r="K121" s="2"/>
      <c r="L121" s="2">
        <f>G121</f>
        <v>96.666666666666671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58</v>
      </c>
      <c r="F122" s="2">
        <v>60</v>
      </c>
      <c r="G122" s="2">
        <f>E122/F122*100</f>
        <v>96.666666666666671</v>
      </c>
      <c r="H122" s="2"/>
      <c r="I122" s="2"/>
      <c r="J122" s="2"/>
      <c r="K122" s="2"/>
      <c r="L122" s="2">
        <f>G122</f>
        <v>96.666666666666671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19</v>
      </c>
      <c r="F123" s="2">
        <v>20</v>
      </c>
      <c r="G123" s="2">
        <f>E123/F123*100</f>
        <v>95</v>
      </c>
      <c r="H123" s="2"/>
      <c r="I123" s="2"/>
      <c r="J123" s="2"/>
      <c r="K123" s="2"/>
      <c r="L123" s="2">
        <f>G123</f>
        <v>95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18</v>
      </c>
      <c r="F124" s="2">
        <v>20</v>
      </c>
      <c r="G124" s="2">
        <f>E124/F124*100</f>
        <v>90</v>
      </c>
      <c r="H124" s="2"/>
      <c r="I124" s="2"/>
      <c r="J124" s="2"/>
      <c r="K124" s="2"/>
      <c r="L124" s="2">
        <f>G124</f>
        <v>90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37</v>
      </c>
      <c r="F125" s="2">
        <v>40</v>
      </c>
      <c r="G125" s="2">
        <f>E125/F125*100</f>
        <v>92.5</v>
      </c>
      <c r="H125" s="2"/>
      <c r="I125" s="2"/>
      <c r="J125" s="2"/>
      <c r="K125" s="2"/>
      <c r="L125" s="2">
        <f>G125</f>
        <v>92.5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5</v>
      </c>
      <c r="F126" s="2">
        <v>5</v>
      </c>
      <c r="G126" s="2">
        <f>E126/F126*100</f>
        <v>100</v>
      </c>
      <c r="H126" s="2"/>
      <c r="I126" s="2"/>
      <c r="J126" s="2"/>
      <c r="K126" s="2"/>
      <c r="L126" s="2">
        <f>G126</f>
        <v>100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5</v>
      </c>
      <c r="F127" s="2">
        <v>5</v>
      </c>
      <c r="G127" s="2">
        <f>E127/F127*100</f>
        <v>100</v>
      </c>
      <c r="H127" s="2"/>
      <c r="I127" s="2"/>
      <c r="J127" s="2"/>
      <c r="K127" s="2"/>
      <c r="L127" s="2">
        <f>G127</f>
        <v>100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5</v>
      </c>
      <c r="F128" s="2">
        <v>5</v>
      </c>
      <c r="G128" s="2">
        <f>E128/F128*100</f>
        <v>100</v>
      </c>
      <c r="H128" s="2"/>
      <c r="I128" s="2"/>
      <c r="J128" s="2"/>
      <c r="K128" s="2"/>
      <c r="L128" s="2">
        <f>G128</f>
        <v>100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4</v>
      </c>
      <c r="F129" s="2">
        <v>5</v>
      </c>
      <c r="G129" s="2">
        <f>E129/F129*100</f>
        <v>80</v>
      </c>
      <c r="H129" s="2"/>
      <c r="I129" s="2"/>
      <c r="J129" s="2"/>
      <c r="K129" s="2"/>
      <c r="L129" s="2">
        <f>G129</f>
        <v>80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3</v>
      </c>
      <c r="F130" s="2">
        <v>5</v>
      </c>
      <c r="G130" s="2">
        <f>E130/F130*100</f>
        <v>60</v>
      </c>
      <c r="H130" s="2"/>
      <c r="I130" s="2"/>
      <c r="J130" s="2"/>
      <c r="K130" s="2"/>
      <c r="L130" s="2">
        <f>G130</f>
        <v>60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4</v>
      </c>
      <c r="F131" s="2">
        <v>5</v>
      </c>
      <c r="G131" s="2">
        <f>E131/F131*100</f>
        <v>80</v>
      </c>
      <c r="H131" s="2"/>
      <c r="I131" s="2"/>
      <c r="J131" s="2"/>
      <c r="K131" s="2"/>
      <c r="L131" s="2">
        <f>G131</f>
        <v>80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4</v>
      </c>
      <c r="F132" s="2">
        <v>5</v>
      </c>
      <c r="G132" s="2">
        <f>E132/F132*100</f>
        <v>80</v>
      </c>
      <c r="H132" s="2"/>
      <c r="I132" s="2"/>
      <c r="J132" s="2"/>
      <c r="K132" s="2"/>
      <c r="L132" s="2">
        <f>G132</f>
        <v>80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2</v>
      </c>
      <c r="F133" s="2">
        <v>5</v>
      </c>
      <c r="G133" s="2">
        <f>E133/F133*100</f>
        <v>40</v>
      </c>
      <c r="H133" s="2"/>
      <c r="I133" s="2"/>
      <c r="J133" s="2"/>
      <c r="K133" s="2"/>
      <c r="L133" s="2">
        <f>G133</f>
        <v>40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10</v>
      </c>
      <c r="F134" s="2">
        <v>10</v>
      </c>
      <c r="G134" s="2">
        <f>E134/F134*100</f>
        <v>100</v>
      </c>
      <c r="H134" s="2"/>
      <c r="I134" s="2"/>
      <c r="J134" s="2"/>
      <c r="K134" s="2"/>
      <c r="L134" s="2">
        <f>G134</f>
        <v>100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9</v>
      </c>
      <c r="F135" s="2">
        <v>10</v>
      </c>
      <c r="G135" s="2">
        <f>E135/F135*100</f>
        <v>90</v>
      </c>
      <c r="H135" s="2"/>
      <c r="I135" s="2"/>
      <c r="J135" s="2"/>
      <c r="K135" s="2"/>
      <c r="L135" s="2">
        <f>G135</f>
        <v>90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7</v>
      </c>
      <c r="F136" s="2">
        <v>10</v>
      </c>
      <c r="G136" s="2">
        <f>E136/F136*100</f>
        <v>70</v>
      </c>
      <c r="H136" s="2"/>
      <c r="I136" s="2"/>
      <c r="J136" s="2"/>
      <c r="K136" s="2"/>
      <c r="L136" s="2">
        <f>G136</f>
        <v>70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6</v>
      </c>
      <c r="F137" s="2">
        <v>10</v>
      </c>
      <c r="G137" s="2">
        <f>E137/F137*100</f>
        <v>60</v>
      </c>
      <c r="H137" s="2"/>
      <c r="I137" s="2"/>
      <c r="J137" s="2"/>
      <c r="K137" s="2"/>
      <c r="L137" s="2">
        <f>G137</f>
        <v>60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17</v>
      </c>
      <c r="F138" s="2">
        <v>20</v>
      </c>
      <c r="G138" s="2">
        <f>E138/F138*100</f>
        <v>85</v>
      </c>
      <c r="H138" s="2"/>
      <c r="I138" s="2"/>
      <c r="J138" s="2"/>
      <c r="K138" s="2"/>
      <c r="L138" s="2">
        <f>G138</f>
        <v>85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15</v>
      </c>
      <c r="F139" s="2">
        <v>20</v>
      </c>
      <c r="G139" s="2">
        <f>E139/F139*100</f>
        <v>75</v>
      </c>
      <c r="H139" s="2"/>
      <c r="I139" s="2"/>
      <c r="J139" s="2"/>
      <c r="K139" s="2"/>
      <c r="L139" s="2">
        <f>G139</f>
        <v>75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32</v>
      </c>
      <c r="F140" s="2">
        <v>40</v>
      </c>
      <c r="G140" s="2">
        <f>E140/F140*100</f>
        <v>80</v>
      </c>
      <c r="H140" s="2"/>
      <c r="I140" s="2"/>
      <c r="J140" s="2"/>
      <c r="K140" s="2"/>
      <c r="L140" s="2">
        <f>G140</f>
        <v>80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6</v>
      </c>
      <c r="F141" s="2">
        <v>6</v>
      </c>
      <c r="G141" s="2">
        <f>E141/F141*100</f>
        <v>100</v>
      </c>
      <c r="H141" s="2"/>
      <c r="I141" s="2"/>
      <c r="J141" s="2"/>
      <c r="K141" s="2"/>
      <c r="L141" s="2">
        <f>G141</f>
        <v>100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61</v>
      </c>
      <c r="F142" s="2">
        <v>65</v>
      </c>
      <c r="G142" s="2">
        <f>E142/F142*100</f>
        <v>93.84615384615384</v>
      </c>
      <c r="H142" s="2"/>
      <c r="I142" s="2"/>
      <c r="J142" s="2"/>
      <c r="K142" s="2"/>
      <c r="L142" s="2">
        <f>G142</f>
        <v>93.84615384615384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29</v>
      </c>
      <c r="F143" s="2">
        <v>31</v>
      </c>
      <c r="G143" s="2">
        <f>E143/F143*100</f>
        <v>93.548387096774192</v>
      </c>
      <c r="H143" s="2"/>
      <c r="I143" s="2"/>
      <c r="J143" s="2"/>
      <c r="K143" s="2"/>
      <c r="L143" s="2">
        <f>G143</f>
        <v>93.548387096774192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31</v>
      </c>
      <c r="F144" s="2">
        <v>31</v>
      </c>
      <c r="G144" s="2">
        <f>E144/F144*100</f>
        <v>100</v>
      </c>
      <c r="H144" s="2"/>
      <c r="I144" s="2"/>
      <c r="J144" s="2"/>
      <c r="K144" s="2"/>
      <c r="L144" s="2">
        <f>G144</f>
        <v>100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20</v>
      </c>
      <c r="F145" s="2">
        <v>26</v>
      </c>
      <c r="G145" s="2">
        <f>E145/F145*100</f>
        <v>76.923076923076934</v>
      </c>
      <c r="H145" s="2"/>
      <c r="I145" s="2"/>
      <c r="J145" s="2"/>
      <c r="K145" s="2"/>
      <c r="L145" s="2">
        <f>G145</f>
        <v>76.923076923076934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80</v>
      </c>
      <c r="F146" s="2">
        <v>88</v>
      </c>
      <c r="G146" s="2">
        <f>E146/F146*100</f>
        <v>90.909090909090907</v>
      </c>
      <c r="H146" s="2"/>
      <c r="I146" s="2"/>
      <c r="J146" s="2"/>
      <c r="K146" s="2"/>
      <c r="L146" s="2">
        <f>G146</f>
        <v>90.909090909090907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9</v>
      </c>
      <c r="F147" s="2">
        <v>10</v>
      </c>
      <c r="G147" s="2"/>
      <c r="H147" s="2"/>
      <c r="I147" s="2"/>
      <c r="J147" s="2"/>
      <c r="K147" s="2"/>
      <c r="L147" s="2">
        <f>E147</f>
        <v>9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9</v>
      </c>
      <c r="F148" s="2">
        <v>10</v>
      </c>
      <c r="G148" s="2"/>
      <c r="H148" s="2"/>
      <c r="I148" s="2"/>
      <c r="J148" s="2"/>
      <c r="K148" s="2"/>
      <c r="L148" s="2">
        <f>E148</f>
        <v>9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10</v>
      </c>
      <c r="F149" s="2">
        <v>10</v>
      </c>
      <c r="G149" s="2"/>
      <c r="H149" s="2"/>
      <c r="I149" s="2"/>
      <c r="J149" s="2"/>
      <c r="K149" s="2"/>
      <c r="L149" s="2">
        <f>E149</f>
        <v>10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>E150</f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95</v>
      </c>
      <c r="F151" s="2">
        <v>100</v>
      </c>
      <c r="G151" s="2"/>
      <c r="H151" s="2"/>
      <c r="I151" s="2"/>
      <c r="J151" s="2"/>
      <c r="K151" s="2"/>
      <c r="L151" s="2">
        <f>E151</f>
        <v>95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96.25</v>
      </c>
      <c r="F152" s="2">
        <v>100</v>
      </c>
      <c r="G152" s="2"/>
      <c r="H152" s="2"/>
      <c r="I152" s="2"/>
      <c r="J152" s="2"/>
      <c r="K152" s="2"/>
      <c r="L152" s="2">
        <f>E152</f>
        <v>96.25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/>
      <c r="H153" s="2"/>
      <c r="I153" s="2"/>
      <c r="J153" s="2"/>
      <c r="K153" s="2"/>
      <c r="L153" s="2">
        <f>E153</f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/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/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/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60</v>
      </c>
      <c r="F157" s="2">
        <v>60</v>
      </c>
      <c r="G157" s="2"/>
      <c r="H157" s="2"/>
      <c r="I157" s="2"/>
      <c r="J157" s="2"/>
      <c r="K157" s="2"/>
      <c r="L157" s="2">
        <f>E157</f>
        <v>60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</v>
      </c>
      <c r="F158" s="2">
        <v>2</v>
      </c>
      <c r="G158" s="2"/>
      <c r="H158" s="2"/>
      <c r="I158" s="2"/>
      <c r="J158" s="2" t="s">
        <v>337</v>
      </c>
      <c r="K158" s="2"/>
      <c r="L158" s="2">
        <f>E158</f>
        <v>0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/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6</v>
      </c>
      <c r="F160" s="2">
        <v>6</v>
      </c>
      <c r="G160" s="2"/>
      <c r="H160" s="2"/>
      <c r="I160" s="2"/>
      <c r="J160" s="2"/>
      <c r="K160" s="2"/>
      <c r="L160" s="2">
        <f>E160</f>
        <v>6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/>
      <c r="H161" s="2"/>
      <c r="I161" s="2"/>
      <c r="J161" s="2"/>
      <c r="K161" s="2"/>
      <c r="L161" s="2">
        <f>E161</f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/>
      <c r="H162" s="2"/>
      <c r="I162" s="2"/>
      <c r="J162" s="2"/>
      <c r="K162" s="2"/>
      <c r="L162" s="2">
        <f>E162</f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9</v>
      </c>
      <c r="F163" s="2">
        <v>9</v>
      </c>
      <c r="G163" s="2"/>
      <c r="H163" s="2"/>
      <c r="I163" s="2"/>
      <c r="J163" s="2"/>
      <c r="K163" s="2"/>
      <c r="L163" s="2">
        <f>E163</f>
        <v>9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4</v>
      </c>
      <c r="F164" s="2">
        <v>4</v>
      </c>
      <c r="G164" s="2"/>
      <c r="H164" s="2"/>
      <c r="I164" s="2"/>
      <c r="J164" s="2"/>
      <c r="K164" s="2"/>
      <c r="L164" s="2">
        <f>E164</f>
        <v>4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4</v>
      </c>
      <c r="F165" s="2">
        <v>4</v>
      </c>
      <c r="G165" s="2"/>
      <c r="H165" s="2"/>
      <c r="I165" s="2"/>
      <c r="J165" s="2"/>
      <c r="K165" s="2"/>
      <c r="L165" s="2">
        <f>E165</f>
        <v>4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33</v>
      </c>
      <c r="F166" s="2">
        <v>33</v>
      </c>
      <c r="G166" s="2"/>
      <c r="H166" s="2"/>
      <c r="I166" s="2"/>
      <c r="J166" s="2"/>
      <c r="K166" s="2"/>
      <c r="L166" s="2">
        <f>E166</f>
        <v>33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2015-02-20T21:31:44Z</dcterms:modified>
</cp:coreProperties>
</file>